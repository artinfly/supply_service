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249" firstSheet="2" activeTab="2"/>
  </bookViews>
  <sheets>
    <sheet name="Лист2" sheetId="1" state="hidden" r:id="rId1"/>
    <sheet name="СВОД" sheetId="2" state="hidden" r:id="rId2"/>
    <sheet name="9022" sheetId="4" r:id="rId3"/>
  </sheets>
  <definedNames>
    <definedName name="_xlnm._FilterDatabase" localSheetId="0" hidden="1">Лист2!$A$2:$R$1161</definedName>
    <definedName name="Z_00A83F4A_6A4C_476D_A12F_01D297E7AF97_.wvu.Cols" localSheetId="1" hidden="1">СВОД!$H:$H</definedName>
    <definedName name="Z_00A83F4A_6A4C_476D_A12F_01D297E7AF97_.wvu.FilterData" localSheetId="0" hidden="1">Лист2!$A$2:$R$1161</definedName>
    <definedName name="Z_00A83F4A_6A4C_476D_A12F_01D297E7AF97_.wvu.PrintArea" localSheetId="1" hidden="1">СВОД!$A$1:$I$35</definedName>
    <definedName name="Z_01E07965_7B53_45C5_A9B0_1A47583A6EFC_.wvu.Cols" localSheetId="1" hidden="1">СВОД!$H:$H</definedName>
    <definedName name="Z_01E07965_7B53_45C5_A9B0_1A47583A6EFC_.wvu.FilterData" localSheetId="0" hidden="1">Лист2!$A$2:$R$1161</definedName>
    <definedName name="Z_01E07965_7B53_45C5_A9B0_1A47583A6EFC_.wvu.PrintArea" localSheetId="1" hidden="1">СВОД!$A$1:$I$33</definedName>
    <definedName name="Z_11A5B54D_6421_466E_906D_45CB895474C7_.wvu.Cols" localSheetId="1" hidden="1">СВОД!$H:$H</definedName>
    <definedName name="Z_2CC1AE45_D62A_4A8B_B580_3455D4ACD473_.wvu.Cols" localSheetId="1" hidden="1">СВОД!$H:$H</definedName>
    <definedName name="Z_2CC1AE45_D62A_4A8B_B580_3455D4ACD473_.wvu.FilterData" localSheetId="0" hidden="1">Лист2!$A$2:$R$1161</definedName>
    <definedName name="Z_2CC1AE45_D62A_4A8B_B580_3455D4ACD473_.wvu.PrintArea" localSheetId="2" hidden="1">'9022'!$A$1:$K$14</definedName>
    <definedName name="Z_2CC1AE45_D62A_4A8B_B580_3455D4ACD473_.wvu.PrintArea" localSheetId="1" hidden="1">СВОД!$A$1:$L$33</definedName>
    <definedName name="Z_2DAE39AD_3E49_4CE8_902A_8AD7FD004A0A_.wvu.Cols" localSheetId="1" hidden="1">СВОД!$H:$H</definedName>
    <definedName name="Z_2DAE39AD_3E49_4CE8_902A_8AD7FD004A0A_.wvu.FilterData" localSheetId="0" hidden="1">Лист2!$A$2:$R$1161</definedName>
    <definedName name="Z_2DAE39AD_3E49_4CE8_902A_8AD7FD004A0A_.wvu.PrintArea" localSheetId="1" hidden="1">СВОД!$A$1:$I$33</definedName>
    <definedName name="Z_40F90B7E_FC10_4F1A_82E4_6A6AD32FB98B_.wvu.Cols" localSheetId="1" hidden="1">СВОД!$H:$H</definedName>
    <definedName name="Z_40F90B7E_FC10_4F1A_82E4_6A6AD32FB98B_.wvu.FilterData" localSheetId="0" hidden="1">Лист2!$A$2:$R$1161</definedName>
    <definedName name="Z_40F90B7E_FC10_4F1A_82E4_6A6AD32FB98B_.wvu.PrintArea" localSheetId="1" hidden="1">СВОД!$A$1:$L$33</definedName>
    <definedName name="Z_454CB70A_9A73_4325_9C58_1B49A5599622_.wvu.Cols" localSheetId="1" hidden="1">СВОД!$H:$H</definedName>
    <definedName name="Z_454CB70A_9A73_4325_9C58_1B49A5599622_.wvu.FilterData" localSheetId="0" hidden="1">Лист2!$A$2:$R$1161</definedName>
    <definedName name="Z_454CB70A_9A73_4325_9C58_1B49A5599622_.wvu.PrintArea" localSheetId="2" hidden="1">'9022'!$A$1:$K$14</definedName>
    <definedName name="Z_454CB70A_9A73_4325_9C58_1B49A5599622_.wvu.PrintArea" localSheetId="1" hidden="1">СВОД!$A$1:$L$33</definedName>
    <definedName name="Z_48731D45_38D6_4C30_B312_6410F84E80CC_.wvu.Cols" localSheetId="1" hidden="1">СВОД!$H:$H</definedName>
    <definedName name="Z_48731D45_38D6_4C30_B312_6410F84E80CC_.wvu.FilterData" localSheetId="0" hidden="1">Лист2!$A$2:$R$1161</definedName>
    <definedName name="Z_48731D45_38D6_4C30_B312_6410F84E80CC_.wvu.PrintArea" localSheetId="1" hidden="1">СВОД!$A$1:$I$33</definedName>
    <definedName name="Z_73072050_98BD_46C0_8A4C_3932EBD7E281_.wvu.Cols" localSheetId="1" hidden="1">СВОД!$H:$H</definedName>
    <definedName name="Z_73072050_98BD_46C0_8A4C_3932EBD7E281_.wvu.FilterData" localSheetId="0" hidden="1">Лист2!$A$2:$R$1161</definedName>
    <definedName name="Z_73072050_98BD_46C0_8A4C_3932EBD7E281_.wvu.PrintArea" localSheetId="2" hidden="1">'9022'!$A$1:$K$14</definedName>
    <definedName name="Z_73072050_98BD_46C0_8A4C_3932EBD7E281_.wvu.PrintArea" localSheetId="1" hidden="1">СВОД!$A$1:$L$33</definedName>
    <definedName name="Z_B655AD65_550A_443B_8E49_D4A3A03BCD10_.wvu.Cols" localSheetId="1" hidden="1">СВОД!$H:$H</definedName>
    <definedName name="Z_B655AD65_550A_443B_8E49_D4A3A03BCD10_.wvu.FilterData" localSheetId="0" hidden="1">Лист2!$A$2:$R$1161</definedName>
    <definedName name="Z_B655AD65_550A_443B_8E49_D4A3A03BCD10_.wvu.PrintArea" localSheetId="1" hidden="1">СВОД!$A$1:$I$33</definedName>
    <definedName name="Z_B656951A_E1FC_411E_8DBA_EFBCE5DDBF7F_.wvu.Cols" localSheetId="1" hidden="1">СВОД!$H:$H</definedName>
    <definedName name="Z_B656951A_E1FC_411E_8DBA_EFBCE5DDBF7F_.wvu.FilterData" localSheetId="0" hidden="1">Лист2!$A$2:$R$1161</definedName>
    <definedName name="Z_B656951A_E1FC_411E_8DBA_EFBCE5DDBF7F_.wvu.PrintArea" localSheetId="1" hidden="1">СВОД!$A$1:$I$33</definedName>
    <definedName name="Z_B93223BC_1772_42BF_90C8_640142444BC1_.wvu.Cols" localSheetId="1" hidden="1">СВОД!$H:$H</definedName>
    <definedName name="Z_B93223BC_1772_42BF_90C8_640142444BC1_.wvu.FilterData" localSheetId="0" hidden="1">Лист2!$A$2:$R$1161</definedName>
    <definedName name="Z_B93223BC_1772_42BF_90C8_640142444BC1_.wvu.PrintArea" localSheetId="2" hidden="1">'9022'!$A$1:$K$14</definedName>
    <definedName name="Z_B93223BC_1772_42BF_90C8_640142444BC1_.wvu.PrintArea" localSheetId="1" hidden="1">СВОД!$A$1:$L$33</definedName>
    <definedName name="Z_BCE1722D_66F7_4E27_B2F5_76D7FA53A180_.wvu.Cols" localSheetId="1" hidden="1">СВОД!$H:$H</definedName>
    <definedName name="Z_BCE1722D_66F7_4E27_B2F5_76D7FA53A180_.wvu.FilterData" localSheetId="0" hidden="1">Лист2!$A$2:$R$1161</definedName>
    <definedName name="Z_BCE1722D_66F7_4E27_B2F5_76D7FA53A180_.wvu.PrintArea" localSheetId="2" hidden="1">'9022'!$A$1:$K$14</definedName>
    <definedName name="Z_BCE1722D_66F7_4E27_B2F5_76D7FA53A180_.wvu.PrintArea" localSheetId="1" hidden="1">СВОД!$A$1:$L$33</definedName>
    <definedName name="Z_C85A34E0_3C83_4DC8_81EA_788ADEED57CA_.wvu.Cols" localSheetId="1" hidden="1">СВОД!$H:$H</definedName>
    <definedName name="Z_C85A34E0_3C83_4DC8_81EA_788ADEED57CA_.wvu.FilterData" localSheetId="0" hidden="1">Лист2!$A$2:$R$1161</definedName>
    <definedName name="Z_C85A34E0_3C83_4DC8_81EA_788ADEED57CA_.wvu.PrintArea" localSheetId="1" hidden="1">СВОД!$A$1:$I$33</definedName>
    <definedName name="Z_D9B4F6B6_4C58_4DE1_9132_EE0B1CCD77CC_.wvu.Cols" localSheetId="1" hidden="1">СВОД!$H:$H</definedName>
    <definedName name="Z_D9B4F6B6_4C58_4DE1_9132_EE0B1CCD77CC_.wvu.FilterData" localSheetId="0" hidden="1">Лист2!$A$2:$R$1161</definedName>
    <definedName name="Z_D9B4F6B6_4C58_4DE1_9132_EE0B1CCD77CC_.wvu.PrintArea" localSheetId="1" hidden="1">СВОД!$A$1:$I$33</definedName>
    <definedName name="Z_EA59B395_89A4_40A4_ABB1_654FBF35292C_.wvu.Cols" localSheetId="1" hidden="1">СВОД!$H:$H</definedName>
    <definedName name="Z_EA59B395_89A4_40A4_ABB1_654FBF35292C_.wvu.FilterData" localSheetId="0" hidden="1">Лист2!$A$2:$R$1161</definedName>
    <definedName name="Z_EA59B395_89A4_40A4_ABB1_654FBF35292C_.wvu.PrintArea" localSheetId="2" hidden="1">'9022'!$A$1:$K$14</definedName>
    <definedName name="Z_EA59B395_89A4_40A4_ABB1_654FBF35292C_.wvu.PrintArea" localSheetId="1" hidden="1">СВОД!$A$1:$L$33</definedName>
    <definedName name="Z_F4E05CBE_2792_464C_B7E1_0109C2C2CF07_.wvu.Cols" localSheetId="1" hidden="1">СВОД!$H:$H</definedName>
    <definedName name="Z_F4E05CBE_2792_464C_B7E1_0109C2C2CF07_.wvu.FilterData" localSheetId="0" hidden="1">Лист2!$A$2:$R$1161</definedName>
    <definedName name="Z_F4E05CBE_2792_464C_B7E1_0109C2C2CF07_.wvu.PrintArea" localSheetId="1" hidden="1">СВОД!$A$1:$I$33</definedName>
    <definedName name="Z_F7F864E1_89C5_4BA7_86DA_D834C115EB5E_.wvu.Cols" localSheetId="1" hidden="1">СВОД!$H:$H</definedName>
    <definedName name="Z_F7F864E1_89C5_4BA7_86DA_D834C115EB5E_.wvu.FilterData" localSheetId="0" hidden="1">Лист2!$A$2:$R$1161</definedName>
    <definedName name="Z_F7F864E1_89C5_4BA7_86DA_D834C115EB5E_.wvu.PrintArea" localSheetId="1" hidden="1">СВОД!$A$1:$I$34</definedName>
    <definedName name="Z_FB04DBF9_3DAE_4A9A_8FD3_86262C957280_.wvu.Cols" localSheetId="1" hidden="1">СВОД!$H:$H</definedName>
    <definedName name="Z_FB04DBF9_3DAE_4A9A_8FD3_86262C957280_.wvu.FilterData" localSheetId="0" hidden="1">Лист2!$A$2:$R$1161</definedName>
    <definedName name="Z_FB04DBF9_3DAE_4A9A_8FD3_86262C957280_.wvu.PrintArea" localSheetId="2" hidden="1">'9022'!$A$1:$K$14</definedName>
    <definedName name="Z_FB04DBF9_3DAE_4A9A_8FD3_86262C957280_.wvu.PrintArea" localSheetId="1" hidden="1">СВОД!$A$1:$L$33</definedName>
    <definedName name="_xlnm.Print_Area" localSheetId="2">'9022'!$A$1:$K$14</definedName>
    <definedName name="_xlnm.Print_Area" localSheetId="1">СВОД!$A$1:$L$33</definedName>
  </definedNames>
  <calcPr calcId="145621"/>
  <customWorkbookViews>
    <customWorkbookView name="Маслова Наталья Владимировна - Личное представление" guid="{73072050-98BD-46C0-8A4C-3932EBD7E281}" mergeInterval="0" personalView="1" maximized="1" windowWidth="1581" windowHeight="662" tabRatio="249" activeSheetId="4"/>
    <customWorkbookView name="Булдакова Елена Юрьевна - Личное представление" guid="{B93223BC-1772-42BF-90C8-640142444BC1}" mergeInterval="0" changesSavedWin="1" personalView="1" maximized="1" windowWidth="1916" windowHeight="834" tabRatio="249" activeSheetId="4"/>
    <customWorkbookView name="Пушкарева Гульнара Илдаровна - Личное представление" guid="{FB04DBF9-3DAE-4A9A-8FD3-86262C957280}" mergeInterval="0" personalView="1" maximized="1" xWindow="-8" yWindow="-8" windowWidth="1936" windowHeight="1056" tabRatio="249" activeSheetId="4"/>
    <customWorkbookView name="Корнилова Ирина Леонидовна - Личное представление" guid="{454CB70A-9A73-4325-9C58-1B49A5599622}" mergeInterval="0" personalView="1" maximized="1" windowWidth="1916" windowHeight="834" tabRatio="249" activeSheetId="4"/>
    <customWorkbookView name="Платунова Любовь Викторовна - Личное представление" guid="{40F90B7E-FC10-4F1A-82E4-6A6AD32FB98B}" mergeInterval="0" personalView="1" maximized="1" windowWidth="1596" windowHeight="654" tabRatio="249" activeSheetId="1"/>
    <customWorkbookView name="Павлова Полина Валерьевна - Личное представление" guid="{01E07965-7B53-45C5-A9B0-1A47583A6EFC}" mergeInterval="0" personalView="1" maximized="1" windowWidth="1436" windowHeight="635" tabRatio="514" activeSheetId="4"/>
    <customWorkbookView name="Глушкова Екатерина Сергеевна - Личное представление" guid="{F7F864E1-89C5-4BA7-86DA-D834C115EB5E}" mergeInterval="0" personalView="1" maximized="1" windowWidth="1901" windowHeight="816" tabRatio="249" activeSheetId="1"/>
    <customWorkbookView name="Дудуева Ирина Юрьевна - Личное представление" guid="{B655AD65-550A-443B-8E49-D4A3A03BCD10}" mergeInterval="0" personalView="1" maximized="1" windowWidth="1916" windowHeight="854" tabRatio="249" activeSheetId="1" showComments="commIndAndComment"/>
    <customWorkbookView name="Lenovo-PC - Личное представление" guid="{11A5B54D-6421-466E-906D-45CB895474C7}" mergeInterval="0" personalView="1" maximized="1" windowWidth="1362" windowHeight="542" tabRatio="249" activeSheetId="5"/>
    <customWorkbookView name="Лыскова Светлана Александровна - Личное представление" guid="{00A83F4A-6A4C-476D-A12F-01D297E7AF97}" mergeInterval="0" personalView="1" maximized="1" windowWidth="1584" windowHeight="642" tabRatio="249" activeSheetId="1"/>
    <customWorkbookView name="Шаль Марина Евгеньевна - Личное представление" guid="{2DAE39AD-3E49-4CE8-902A-8AD7FD004A0A}" mergeInterval="0" personalView="1" maximized="1" windowWidth="1436" windowHeight="615" tabRatio="249" activeSheetId="2"/>
    <customWorkbookView name="Булашева Марина Анатольевна - Личное представление" guid="{F4E05CBE-2792-464C-B7E1-0109C2C2CF07}" mergeInterval="0" personalView="1" maximized="1" windowWidth="1916" windowHeight="748" tabRatio="249" activeSheetId="3"/>
    <customWorkbookView name="Фомина Наталья Ивановна - Личное представление" guid="{C85A34E0-3C83-4DC8-81EA-788ADEED57CA}" mergeInterval="0" personalView="1" maximized="1" windowWidth="1868" windowHeight="826" tabRatio="249" activeSheetId="1"/>
    <customWorkbookView name="Кучеренко Ольга Владимировна - Личное представление" guid="{D9B4F6B6-4C58-4DE1-9132-EE0B1CCD77CC}" mergeInterval="0" personalView="1" maximized="1" windowWidth="1596" windowHeight="614" tabRatio="249" activeSheetId="7"/>
    <customWorkbookView name="Кашина Гульнара Гафиятовна - Личное представление" guid="{48731D45-38D6-4C30-B312-6410F84E80CC}" mergeInterval="0" personalView="1" maximized="1" windowWidth="1596" windowHeight="654" tabRatio="660" activeSheetId="4"/>
    <customWorkbookView name="Болотова Марина Александровна - Личное представление" guid="{B656951A-E1FC-411E-8DBA-EFBCE5DDBF7F}" mergeInterval="0" personalView="1" maximized="1" windowWidth="1596" windowHeight="574" tabRatio="322" activeSheetId="3" showComments="commIndAndComment"/>
    <customWorkbookView name="Прокопенко Александра Борисовна - Личное представление" guid="{BCE1722D-66F7-4E27-B2F5-76D7FA53A180}" mergeInterval="0" personalView="1" maximized="1" windowWidth="1916" windowHeight="854" tabRatio="249" activeSheetId="4"/>
    <customWorkbookView name="Летников Владимир Дмитриевич - Личное представление" guid="{2CC1AE45-D62A-4A8B-B580-3455D4ACD473}" mergeInterval="0" personalView="1" maximized="1" windowWidth="1916" windowHeight="814" tabRatio="249" activeSheetId="4"/>
    <customWorkbookView name="Волкова Екатерина Викторовна - Личное представление" guid="{EA59B395-89A4-40A4-ABB1-654FBF35292C}" mergeInterval="0" personalView="1" maximized="1" windowWidth="1916" windowHeight="854" tabRatio="249" activeSheetId="4"/>
  </customWorkbookViews>
</workbook>
</file>

<file path=xl/calcChain.xml><?xml version="1.0" encoding="utf-8"?>
<calcChain xmlns="http://schemas.openxmlformats.org/spreadsheetml/2006/main">
  <c r="L32" i="2" l="1"/>
  <c r="L30" i="2"/>
  <c r="L29" i="2"/>
  <c r="L31" i="2"/>
  <c r="L25" i="2"/>
  <c r="L26" i="2"/>
  <c r="L27" i="2"/>
  <c r="L22" i="2"/>
  <c r="L19" i="2"/>
  <c r="L20" i="2"/>
  <c r="L21" i="2"/>
  <c r="L14" i="2"/>
  <c r="L15" i="2"/>
  <c r="L16" i="2"/>
  <c r="L17" i="2"/>
  <c r="L10" i="2"/>
  <c r="L11" i="2"/>
  <c r="L12" i="2"/>
  <c r="L9" i="2"/>
  <c r="L4" i="2"/>
  <c r="L5" i="2"/>
  <c r="L6" i="2"/>
  <c r="L7" i="2"/>
  <c r="L28" i="2" l="1"/>
  <c r="L13" i="2"/>
  <c r="L8" i="2"/>
  <c r="L23" i="2"/>
  <c r="L18" i="2"/>
  <c r="L3" i="2"/>
  <c r="L33" i="2" l="1"/>
  <c r="J27" i="2" l="1"/>
  <c r="J31" i="2"/>
  <c r="J30" i="2"/>
  <c r="J29" i="2"/>
  <c r="J25" i="2"/>
  <c r="J26" i="2"/>
  <c r="K29" i="2" l="1"/>
  <c r="K31" i="2"/>
  <c r="K30" i="2"/>
  <c r="K26" i="2"/>
  <c r="K25" i="2"/>
  <c r="J23" i="2"/>
  <c r="J21" i="2" l="1"/>
  <c r="J19" i="2"/>
  <c r="J20" i="2"/>
  <c r="K20" i="2" l="1"/>
  <c r="K19" i="2"/>
  <c r="K21" i="2"/>
  <c r="J15" i="2"/>
  <c r="J16" i="2"/>
  <c r="J14" i="2"/>
  <c r="K16" i="2" l="1"/>
  <c r="K15" i="2"/>
  <c r="J9" i="2"/>
  <c r="J11" i="2"/>
  <c r="J10" i="2"/>
  <c r="K11" i="2" l="1"/>
  <c r="K10" i="2"/>
  <c r="J5" i="2" l="1"/>
  <c r="J4" i="2"/>
  <c r="K4" i="2" l="1"/>
  <c r="K5" i="2"/>
  <c r="J6" i="2" l="1"/>
  <c r="K6" i="2" l="1"/>
  <c r="J17" i="2" l="1"/>
  <c r="J13" i="2" s="1"/>
  <c r="M1159" i="1" l="1"/>
  <c r="I1159" i="1"/>
  <c r="O1158" i="1"/>
  <c r="N1157" i="1"/>
  <c r="L1157" i="1"/>
  <c r="O1157" i="1" s="1"/>
  <c r="O1156" i="1"/>
  <c r="N1156" i="1"/>
  <c r="O1155" i="1"/>
  <c r="N1155" i="1"/>
  <c r="O1154" i="1"/>
  <c r="N1154" i="1"/>
  <c r="N1153" i="1"/>
  <c r="L1153" i="1"/>
  <c r="O1153" i="1" s="1"/>
  <c r="N1152" i="1"/>
  <c r="L1152" i="1"/>
  <c r="O1152" i="1" s="1"/>
  <c r="O1151" i="1"/>
  <c r="N1151" i="1"/>
  <c r="N1150" i="1"/>
  <c r="L1150" i="1"/>
  <c r="O1150" i="1" s="1"/>
  <c r="N1149" i="1"/>
  <c r="L1149" i="1"/>
  <c r="O1149" i="1" s="1"/>
  <c r="N1148" i="1"/>
  <c r="L1148" i="1"/>
  <c r="O1148" i="1" s="1"/>
  <c r="N1147" i="1"/>
  <c r="L1147" i="1"/>
  <c r="O1147" i="1" s="1"/>
  <c r="N1146" i="1"/>
  <c r="L1146" i="1"/>
  <c r="O1146" i="1" s="1"/>
  <c r="N1145" i="1"/>
  <c r="L1145" i="1"/>
  <c r="O1145" i="1" s="1"/>
  <c r="N1144" i="1"/>
  <c r="L1144" i="1"/>
  <c r="O1144" i="1" s="1"/>
  <c r="N1143" i="1"/>
  <c r="L1143" i="1"/>
  <c r="O1143" i="1" s="1"/>
  <c r="N1142" i="1"/>
  <c r="L1142" i="1"/>
  <c r="O1142" i="1" s="1"/>
  <c r="N1141" i="1"/>
  <c r="L1141" i="1"/>
  <c r="O1141" i="1" s="1"/>
  <c r="N1140" i="1"/>
  <c r="L1140" i="1"/>
  <c r="O1140" i="1" s="1"/>
  <c r="N1139" i="1"/>
  <c r="L1139" i="1"/>
  <c r="O1139" i="1" s="1"/>
  <c r="N1138" i="1"/>
  <c r="L1138" i="1"/>
  <c r="O1138" i="1" s="1"/>
  <c r="N1137" i="1"/>
  <c r="L1137" i="1"/>
  <c r="O1137" i="1" s="1"/>
  <c r="N1136" i="1"/>
  <c r="L1136" i="1"/>
  <c r="O1136" i="1" s="1"/>
  <c r="N1135" i="1"/>
  <c r="L1135" i="1"/>
  <c r="O1135" i="1" s="1"/>
  <c r="N1134" i="1"/>
  <c r="L1134" i="1"/>
  <c r="O1134" i="1" s="1"/>
  <c r="N1133" i="1"/>
  <c r="L1133" i="1"/>
  <c r="O1133" i="1" s="1"/>
  <c r="N1132" i="1"/>
  <c r="L1132" i="1"/>
  <c r="O1132" i="1" s="1"/>
  <c r="N1131" i="1"/>
  <c r="L1131" i="1"/>
  <c r="O1131" i="1" s="1"/>
  <c r="O1130" i="1"/>
  <c r="N1130" i="1"/>
  <c r="N1129" i="1"/>
  <c r="L1129" i="1"/>
  <c r="O1129" i="1" s="1"/>
  <c r="N1128" i="1"/>
  <c r="L1128" i="1"/>
  <c r="O1128" i="1" s="1"/>
  <c r="N1127" i="1"/>
  <c r="L1127" i="1"/>
  <c r="O1127" i="1" s="1"/>
  <c r="N1126" i="1"/>
  <c r="L1126" i="1"/>
  <c r="O1126" i="1" s="1"/>
  <c r="N1125" i="1"/>
  <c r="L1125" i="1"/>
  <c r="O1125" i="1" s="1"/>
  <c r="L1124" i="1"/>
  <c r="O1124" i="1" s="1"/>
  <c r="J1124" i="1"/>
  <c r="N1124" i="1" s="1"/>
  <c r="N1123" i="1"/>
  <c r="L1123" i="1"/>
  <c r="O1123" i="1" s="1"/>
  <c r="N1122" i="1"/>
  <c r="L1122" i="1"/>
  <c r="O1122" i="1" s="1"/>
  <c r="N1121" i="1"/>
  <c r="L1121" i="1"/>
  <c r="O1121" i="1" s="1"/>
  <c r="N1120" i="1"/>
  <c r="L1120" i="1"/>
  <c r="O1120" i="1" s="1"/>
  <c r="N1119" i="1"/>
  <c r="L1119" i="1"/>
  <c r="O1119" i="1" s="1"/>
  <c r="N1118" i="1"/>
  <c r="L1118" i="1"/>
  <c r="O1118" i="1" s="1"/>
  <c r="N1117" i="1"/>
  <c r="L1117" i="1"/>
  <c r="O1117" i="1" s="1"/>
  <c r="N1116" i="1"/>
  <c r="L1116" i="1"/>
  <c r="O1116" i="1" s="1"/>
  <c r="N1115" i="1"/>
  <c r="L1115" i="1"/>
  <c r="O1115" i="1" s="1"/>
  <c r="N1114" i="1"/>
  <c r="L1114" i="1"/>
  <c r="O1114" i="1" s="1"/>
  <c r="N1113" i="1"/>
  <c r="L1113" i="1"/>
  <c r="O1113" i="1" s="1"/>
  <c r="N1112" i="1"/>
  <c r="L1112" i="1"/>
  <c r="O1112" i="1" s="1"/>
  <c r="N1111" i="1"/>
  <c r="L1111" i="1"/>
  <c r="O1111" i="1" s="1"/>
  <c r="N1110" i="1"/>
  <c r="L1110" i="1"/>
  <c r="O1110" i="1" s="1"/>
  <c r="N1109" i="1"/>
  <c r="L1109" i="1"/>
  <c r="O1109" i="1" s="1"/>
  <c r="N1108" i="1"/>
  <c r="L1108" i="1"/>
  <c r="O1108" i="1" s="1"/>
  <c r="N1107" i="1"/>
  <c r="L1107" i="1"/>
  <c r="O1107" i="1" s="1"/>
  <c r="N1106" i="1"/>
  <c r="L1106" i="1"/>
  <c r="O1106" i="1" s="1"/>
  <c r="N1105" i="1"/>
  <c r="L1105" i="1"/>
  <c r="O1105" i="1" s="1"/>
  <c r="L1104" i="1"/>
  <c r="O1104" i="1" s="1"/>
  <c r="J1104" i="1"/>
  <c r="N1104" i="1" s="1"/>
  <c r="N1103" i="1"/>
  <c r="L1103" i="1"/>
  <c r="O1103" i="1" s="1"/>
  <c r="N1102" i="1"/>
  <c r="L1102" i="1"/>
  <c r="O1102" i="1" s="1"/>
  <c r="L1101" i="1"/>
  <c r="O1101" i="1" s="1"/>
  <c r="J1101" i="1"/>
  <c r="N1101" i="1" s="1"/>
  <c r="L1100" i="1"/>
  <c r="O1100" i="1" s="1"/>
  <c r="J1100" i="1"/>
  <c r="N1100" i="1" s="1"/>
  <c r="N1099" i="1"/>
  <c r="L1099" i="1"/>
  <c r="O1099" i="1" s="1"/>
  <c r="N1098" i="1"/>
  <c r="L1098" i="1"/>
  <c r="O1098" i="1" s="1"/>
  <c r="N1097" i="1"/>
  <c r="L1097" i="1"/>
  <c r="O1097" i="1" s="1"/>
  <c r="N1096" i="1"/>
  <c r="L1096" i="1"/>
  <c r="O1096" i="1" s="1"/>
  <c r="L1095" i="1"/>
  <c r="O1095" i="1" s="1"/>
  <c r="J1095" i="1"/>
  <c r="N1094" i="1"/>
  <c r="L1094" i="1"/>
  <c r="O1094" i="1" s="1"/>
  <c r="O1093" i="1"/>
  <c r="N1093" i="1"/>
  <c r="N1092" i="1"/>
  <c r="L1092" i="1"/>
  <c r="O1092" i="1" s="1"/>
  <c r="N1091" i="1"/>
  <c r="L1091" i="1"/>
  <c r="O1091" i="1" s="1"/>
  <c r="O1090" i="1"/>
  <c r="N1090" i="1"/>
  <c r="O1089" i="1"/>
  <c r="N1088" i="1"/>
  <c r="L1088" i="1"/>
  <c r="O1088" i="1" s="1"/>
  <c r="N1087" i="1"/>
  <c r="L1087" i="1"/>
  <c r="O1087" i="1" s="1"/>
  <c r="N1086" i="1"/>
  <c r="L1086" i="1"/>
  <c r="O1086" i="1" s="1"/>
  <c r="N1085" i="1"/>
  <c r="L1085" i="1"/>
  <c r="O1085" i="1" s="1"/>
  <c r="N1084" i="1"/>
  <c r="L1084" i="1"/>
  <c r="O1084" i="1" s="1"/>
  <c r="N1083" i="1"/>
  <c r="L1083" i="1"/>
  <c r="O1083" i="1" s="1"/>
  <c r="N1082" i="1"/>
  <c r="L1082" i="1"/>
  <c r="O1082" i="1" s="1"/>
  <c r="N1081" i="1"/>
  <c r="L1081" i="1"/>
  <c r="O1081" i="1" s="1"/>
  <c r="N1080" i="1"/>
  <c r="L1080" i="1"/>
  <c r="O1080" i="1" s="1"/>
  <c r="N1079" i="1"/>
  <c r="L1079" i="1"/>
  <c r="O1079" i="1" s="1"/>
  <c r="O1078" i="1"/>
  <c r="N1078" i="1"/>
  <c r="O1077" i="1"/>
  <c r="N1077" i="1"/>
  <c r="N1076" i="1"/>
  <c r="L1076" i="1"/>
  <c r="O1076" i="1" s="1"/>
  <c r="O1075" i="1"/>
  <c r="N1075" i="1"/>
  <c r="O1074" i="1"/>
  <c r="N1074" i="1"/>
  <c r="O1073" i="1"/>
  <c r="N1073" i="1"/>
  <c r="O1072" i="1"/>
  <c r="N1072" i="1"/>
  <c r="N1071" i="1"/>
  <c r="L1071" i="1"/>
  <c r="O1071" i="1" s="1"/>
  <c r="O1070" i="1"/>
  <c r="N1070" i="1"/>
  <c r="O1069" i="1"/>
  <c r="N1069" i="1"/>
  <c r="N1068" i="1"/>
  <c r="L1068" i="1"/>
  <c r="O1068" i="1" s="1"/>
  <c r="N1067" i="1"/>
  <c r="L1067" i="1"/>
  <c r="O1067" i="1" s="1"/>
  <c r="O1066" i="1"/>
  <c r="N1066" i="1"/>
  <c r="O1065" i="1"/>
  <c r="N1065" i="1"/>
  <c r="N1064" i="1"/>
  <c r="L1064" i="1"/>
  <c r="O1064" i="1" s="1"/>
  <c r="O1063" i="1"/>
  <c r="N1063" i="1"/>
  <c r="N1062" i="1"/>
  <c r="L1062" i="1"/>
  <c r="M1061" i="1"/>
  <c r="L1061" i="1"/>
  <c r="K1061" i="1"/>
  <c r="J1061" i="1"/>
  <c r="I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N1035" i="1"/>
  <c r="M1035" i="1"/>
  <c r="J1035" i="1"/>
  <c r="I1035" i="1"/>
  <c r="L1034" i="1"/>
  <c r="O1034" i="1" s="1"/>
  <c r="L1033" i="1"/>
  <c r="O1033" i="1" s="1"/>
  <c r="L1032" i="1"/>
  <c r="O1032" i="1" s="1"/>
  <c r="L1031" i="1"/>
  <c r="O1031" i="1" s="1"/>
  <c r="L1030" i="1"/>
  <c r="O1030" i="1" s="1"/>
  <c r="L1029" i="1"/>
  <c r="O1029" i="1" s="1"/>
  <c r="L1028" i="1"/>
  <c r="O1028" i="1" s="1"/>
  <c r="L1027" i="1"/>
  <c r="O1027" i="1" s="1"/>
  <c r="L1026" i="1"/>
  <c r="O1026" i="1" s="1"/>
  <c r="L1025" i="1"/>
  <c r="O1025" i="1" s="1"/>
  <c r="L1024" i="1"/>
  <c r="O1024" i="1" s="1"/>
  <c r="L1023" i="1"/>
  <c r="O1023" i="1" s="1"/>
  <c r="L1022" i="1"/>
  <c r="O1022" i="1" s="1"/>
  <c r="L1021" i="1"/>
  <c r="O1021" i="1" s="1"/>
  <c r="L1020" i="1"/>
  <c r="O1020" i="1" s="1"/>
  <c r="L1019" i="1"/>
  <c r="O1019" i="1" s="1"/>
  <c r="L1018" i="1"/>
  <c r="O1018" i="1" s="1"/>
  <c r="L1017" i="1"/>
  <c r="O1017" i="1" s="1"/>
  <c r="L1016" i="1"/>
  <c r="O1016" i="1" s="1"/>
  <c r="L1015" i="1"/>
  <c r="O1015" i="1" s="1"/>
  <c r="L1014" i="1"/>
  <c r="O1014" i="1" s="1"/>
  <c r="L1013" i="1"/>
  <c r="O1013" i="1" s="1"/>
  <c r="L1012" i="1"/>
  <c r="O1012" i="1" s="1"/>
  <c r="L1011" i="1"/>
  <c r="O1011" i="1" s="1"/>
  <c r="L1010" i="1"/>
  <c r="O1010" i="1" s="1"/>
  <c r="L1009" i="1"/>
  <c r="O1009" i="1" s="1"/>
  <c r="L1008" i="1"/>
  <c r="O1008" i="1" s="1"/>
  <c r="L1007" i="1"/>
  <c r="O1007" i="1" s="1"/>
  <c r="L1006" i="1"/>
  <c r="O1006" i="1" s="1"/>
  <c r="L1005" i="1"/>
  <c r="O1005" i="1" s="1"/>
  <c r="L1004" i="1"/>
  <c r="O1004" i="1" s="1"/>
  <c r="L1003" i="1"/>
  <c r="O1003" i="1" s="1"/>
  <c r="L1002" i="1"/>
  <c r="O1002" i="1" s="1"/>
  <c r="L1001" i="1"/>
  <c r="O1001" i="1" s="1"/>
  <c r="L1000" i="1"/>
  <c r="O1000" i="1" s="1"/>
  <c r="L999" i="1"/>
  <c r="O999" i="1" s="1"/>
  <c r="L998" i="1"/>
  <c r="O998" i="1" s="1"/>
  <c r="L997" i="1"/>
  <c r="O997" i="1" s="1"/>
  <c r="L996" i="1"/>
  <c r="O996" i="1" s="1"/>
  <c r="L995" i="1"/>
  <c r="O995" i="1" s="1"/>
  <c r="L994" i="1"/>
  <c r="O994" i="1" s="1"/>
  <c r="L993" i="1"/>
  <c r="O993" i="1" s="1"/>
  <c r="L992" i="1"/>
  <c r="O992" i="1" s="1"/>
  <c r="L991" i="1"/>
  <c r="O991" i="1" s="1"/>
  <c r="L990" i="1"/>
  <c r="O990" i="1" s="1"/>
  <c r="L989" i="1"/>
  <c r="O989" i="1" s="1"/>
  <c r="L988" i="1"/>
  <c r="O988" i="1" s="1"/>
  <c r="L987" i="1"/>
  <c r="O987" i="1" s="1"/>
  <c r="L986" i="1"/>
  <c r="O986" i="1" s="1"/>
  <c r="L985" i="1"/>
  <c r="O985" i="1" s="1"/>
  <c r="L984" i="1"/>
  <c r="O984" i="1" s="1"/>
  <c r="L983" i="1"/>
  <c r="O983" i="1" s="1"/>
  <c r="L982" i="1"/>
  <c r="O982" i="1" s="1"/>
  <c r="L981" i="1"/>
  <c r="O981" i="1" s="1"/>
  <c r="L980" i="1"/>
  <c r="O980" i="1" s="1"/>
  <c r="L979" i="1"/>
  <c r="O979" i="1" s="1"/>
  <c r="L978" i="1"/>
  <c r="O978" i="1" s="1"/>
  <c r="L977" i="1"/>
  <c r="O977" i="1" s="1"/>
  <c r="L976" i="1"/>
  <c r="O976" i="1" s="1"/>
  <c r="L975" i="1"/>
  <c r="O975" i="1" s="1"/>
  <c r="L974" i="1"/>
  <c r="O974" i="1" s="1"/>
  <c r="L973" i="1"/>
  <c r="O973" i="1" s="1"/>
  <c r="L972" i="1"/>
  <c r="O972" i="1" s="1"/>
  <c r="L971" i="1"/>
  <c r="O971" i="1" s="1"/>
  <c r="L970" i="1"/>
  <c r="O970" i="1" s="1"/>
  <c r="L969" i="1"/>
  <c r="O969" i="1" s="1"/>
  <c r="L968" i="1"/>
  <c r="O968" i="1" s="1"/>
  <c r="M967" i="1"/>
  <c r="K967" i="1"/>
  <c r="I967" i="1"/>
  <c r="I1160" i="1" s="1"/>
  <c r="N966" i="1"/>
  <c r="L966" i="1"/>
  <c r="O966" i="1" s="1"/>
  <c r="O965" i="1"/>
  <c r="N965" i="1"/>
  <c r="O964" i="1"/>
  <c r="N964" i="1"/>
  <c r="N963" i="1"/>
  <c r="L963" i="1"/>
  <c r="O963" i="1" s="1"/>
  <c r="N962" i="1"/>
  <c r="L962" i="1"/>
  <c r="O962" i="1" s="1"/>
  <c r="N961" i="1"/>
  <c r="L961" i="1"/>
  <c r="O961" i="1" s="1"/>
  <c r="N960" i="1"/>
  <c r="L960" i="1"/>
  <c r="O960" i="1" s="1"/>
  <c r="L959" i="1"/>
  <c r="O959" i="1" s="1"/>
  <c r="J959" i="1"/>
  <c r="N959" i="1" s="1"/>
  <c r="M957" i="1"/>
  <c r="K957" i="1"/>
  <c r="I957" i="1"/>
  <c r="O956" i="1"/>
  <c r="N956" i="1"/>
  <c r="O955" i="1"/>
  <c r="N955" i="1"/>
  <c r="L954" i="1"/>
  <c r="O954" i="1" s="1"/>
  <c r="L953" i="1"/>
  <c r="O953" i="1" s="1"/>
  <c r="J953" i="1"/>
  <c r="N953" i="1" s="1"/>
  <c r="N952" i="1"/>
  <c r="L952" i="1"/>
  <c r="O952" i="1" s="1"/>
  <c r="N951" i="1"/>
  <c r="L951" i="1"/>
  <c r="O951" i="1" s="1"/>
  <c r="N950" i="1"/>
  <c r="L950" i="1"/>
  <c r="O950" i="1" s="1"/>
  <c r="N949" i="1"/>
  <c r="L949" i="1"/>
  <c r="O949" i="1" s="1"/>
  <c r="O948" i="1"/>
  <c r="N948" i="1"/>
  <c r="L947" i="1"/>
  <c r="O947" i="1" s="1"/>
  <c r="O946" i="1"/>
  <c r="N946" i="1"/>
  <c r="O945" i="1"/>
  <c r="N945" i="1"/>
  <c r="L944" i="1"/>
  <c r="O944" i="1" s="1"/>
  <c r="J944" i="1"/>
  <c r="N944" i="1" s="1"/>
  <c r="N943" i="1"/>
  <c r="L943" i="1"/>
  <c r="O943" i="1" s="1"/>
  <c r="N942" i="1"/>
  <c r="L942" i="1"/>
  <c r="O942" i="1" s="1"/>
  <c r="O941" i="1"/>
  <c r="O940" i="1"/>
  <c r="N940" i="1"/>
  <c r="O939" i="1"/>
  <c r="N939" i="1"/>
  <c r="N938" i="1"/>
  <c r="L938" i="1"/>
  <c r="O938" i="1" s="1"/>
  <c r="O937" i="1"/>
  <c r="N937" i="1"/>
  <c r="N936" i="1"/>
  <c r="L936" i="1"/>
  <c r="O936" i="1" s="1"/>
  <c r="N935" i="1"/>
  <c r="L935" i="1"/>
  <c r="O935" i="1" s="1"/>
  <c r="N934" i="1"/>
  <c r="L934" i="1"/>
  <c r="O934" i="1" s="1"/>
  <c r="N933" i="1"/>
  <c r="L933" i="1"/>
  <c r="O933" i="1" s="1"/>
  <c r="N932" i="1"/>
  <c r="L932" i="1"/>
  <c r="O932" i="1" s="1"/>
  <c r="N931" i="1"/>
  <c r="O930" i="1"/>
  <c r="N930" i="1"/>
  <c r="O929" i="1"/>
  <c r="N929" i="1"/>
  <c r="N928" i="1"/>
  <c r="L928" i="1"/>
  <c r="O928" i="1" s="1"/>
  <c r="O927" i="1"/>
  <c r="N927" i="1"/>
  <c r="N926" i="1"/>
  <c r="L926" i="1"/>
  <c r="O926" i="1" s="1"/>
  <c r="N925" i="1"/>
  <c r="L925" i="1"/>
  <c r="O925" i="1" s="1"/>
  <c r="O924" i="1"/>
  <c r="N924" i="1"/>
  <c r="O923" i="1"/>
  <c r="N923" i="1"/>
  <c r="N922" i="1"/>
  <c r="L922" i="1"/>
  <c r="O922" i="1" s="1"/>
  <c r="N921" i="1"/>
  <c r="L921" i="1"/>
  <c r="O921" i="1" s="1"/>
  <c r="N920" i="1"/>
  <c r="L920" i="1"/>
  <c r="O920" i="1" s="1"/>
  <c r="O919" i="1"/>
  <c r="N919" i="1"/>
  <c r="N918" i="1"/>
  <c r="L918" i="1"/>
  <c r="O918" i="1" s="1"/>
  <c r="N917" i="1"/>
  <c r="L917" i="1"/>
  <c r="O917" i="1" s="1"/>
  <c r="O916" i="1"/>
  <c r="N916" i="1"/>
  <c r="N915" i="1"/>
  <c r="L915" i="1"/>
  <c r="O915" i="1" s="1"/>
  <c r="N914" i="1"/>
  <c r="L914" i="1"/>
  <c r="O914" i="1" s="1"/>
  <c r="N913" i="1"/>
  <c r="L913" i="1"/>
  <c r="O913" i="1" s="1"/>
  <c r="N912" i="1"/>
  <c r="L912" i="1"/>
  <c r="O912" i="1" s="1"/>
  <c r="N911" i="1"/>
  <c r="L911" i="1"/>
  <c r="O911" i="1" s="1"/>
  <c r="N910" i="1"/>
  <c r="L910" i="1"/>
  <c r="O910" i="1" s="1"/>
  <c r="N909" i="1"/>
  <c r="L909" i="1"/>
  <c r="O909" i="1" s="1"/>
  <c r="N908" i="1"/>
  <c r="L908" i="1"/>
  <c r="O908" i="1" s="1"/>
  <c r="N907" i="1"/>
  <c r="L907" i="1"/>
  <c r="O907" i="1" s="1"/>
  <c r="O906" i="1"/>
  <c r="N906" i="1"/>
  <c r="O905" i="1"/>
  <c r="N905" i="1"/>
  <c r="O904" i="1"/>
  <c r="N904" i="1"/>
  <c r="O903" i="1"/>
  <c r="N903" i="1"/>
  <c r="O902" i="1"/>
  <c r="N902" i="1"/>
  <c r="N901" i="1"/>
  <c r="L901" i="1"/>
  <c r="O901" i="1" s="1"/>
  <c r="N900" i="1"/>
  <c r="L900" i="1"/>
  <c r="O900" i="1" s="1"/>
  <c r="N899" i="1"/>
  <c r="L899" i="1"/>
  <c r="O899" i="1" s="1"/>
  <c r="O898" i="1"/>
  <c r="N898" i="1"/>
  <c r="O897" i="1"/>
  <c r="J897" i="1"/>
  <c r="N897" i="1" s="1"/>
  <c r="N896" i="1"/>
  <c r="L896" i="1"/>
  <c r="O896" i="1" s="1"/>
  <c r="O895" i="1"/>
  <c r="N895" i="1"/>
  <c r="L894" i="1"/>
  <c r="O894" i="1" s="1"/>
  <c r="J894" i="1"/>
  <c r="O893" i="1"/>
  <c r="N893" i="1"/>
  <c r="O892" i="1"/>
  <c r="N891" i="1"/>
  <c r="L891" i="1"/>
  <c r="O891" i="1" s="1"/>
  <c r="O890" i="1"/>
  <c r="N890" i="1"/>
  <c r="N889" i="1"/>
  <c r="L889" i="1"/>
  <c r="O889" i="1" s="1"/>
  <c r="N888" i="1"/>
  <c r="L888" i="1"/>
  <c r="O888" i="1" s="1"/>
  <c r="N887" i="1"/>
  <c r="L887" i="1"/>
  <c r="O887" i="1" s="1"/>
  <c r="N886" i="1"/>
  <c r="L886" i="1"/>
  <c r="M885" i="1"/>
  <c r="L885" i="1"/>
  <c r="K885" i="1"/>
  <c r="J885" i="1"/>
  <c r="I885" i="1"/>
  <c r="O884" i="1"/>
  <c r="O883" i="1"/>
  <c r="O882" i="1"/>
  <c r="N882" i="1"/>
  <c r="N885" i="1" s="1"/>
  <c r="O881" i="1"/>
  <c r="O880" i="1"/>
  <c r="N879" i="1"/>
  <c r="M879" i="1"/>
  <c r="K879" i="1"/>
  <c r="J879" i="1"/>
  <c r="I879" i="1"/>
  <c r="L878" i="1"/>
  <c r="L879" i="1" s="1"/>
  <c r="O877" i="1"/>
  <c r="O876" i="1"/>
  <c r="O875" i="1"/>
  <c r="Q873" i="1"/>
  <c r="Q874" i="1" s="1"/>
  <c r="P873" i="1"/>
  <c r="P874" i="1" s="1"/>
  <c r="K873" i="1"/>
  <c r="I873" i="1"/>
  <c r="O872" i="1"/>
  <c r="L870" i="1"/>
  <c r="O870" i="1" s="1"/>
  <c r="L869" i="1"/>
  <c r="O869" i="1" s="1"/>
  <c r="O868" i="1"/>
  <c r="O867" i="1"/>
  <c r="O866" i="1"/>
  <c r="L865" i="1"/>
  <c r="O865" i="1" s="1"/>
  <c r="O864" i="1"/>
  <c r="O862" i="1"/>
  <c r="O861" i="1"/>
  <c r="O859" i="1"/>
  <c r="L858" i="1"/>
  <c r="O858" i="1" s="1"/>
  <c r="O857" i="1"/>
  <c r="O856" i="1"/>
  <c r="O855" i="1"/>
  <c r="O854" i="1"/>
  <c r="O853" i="1"/>
  <c r="M852" i="1"/>
  <c r="M873" i="1" s="1"/>
  <c r="L852" i="1"/>
  <c r="O850" i="1"/>
  <c r="L846" i="1"/>
  <c r="O846" i="1" s="1"/>
  <c r="O844" i="1"/>
  <c r="L843" i="1"/>
  <c r="O843" i="1" s="1"/>
  <c r="J843" i="1"/>
  <c r="N843" i="1" s="1"/>
  <c r="O842" i="1"/>
  <c r="N842" i="1"/>
  <c r="N841" i="1"/>
  <c r="O840" i="1"/>
  <c r="O839" i="1"/>
  <c r="J839" i="1"/>
  <c r="N838" i="1"/>
  <c r="L838" i="1"/>
  <c r="O838" i="1" s="1"/>
  <c r="L837" i="1"/>
  <c r="J837" i="1"/>
  <c r="L836" i="1"/>
  <c r="O835" i="1"/>
  <c r="O834" i="1"/>
  <c r="O833" i="1"/>
  <c r="O831" i="1"/>
  <c r="O830" i="1"/>
  <c r="O829" i="1"/>
  <c r="O828" i="1"/>
  <c r="O827" i="1"/>
  <c r="O826" i="1"/>
  <c r="N826" i="1"/>
  <c r="N825" i="1"/>
  <c r="L825" i="1"/>
  <c r="O825" i="1" s="1"/>
  <c r="O824" i="1"/>
  <c r="L823" i="1"/>
  <c r="O823" i="1" s="1"/>
  <c r="J823" i="1"/>
  <c r="N823" i="1" s="1"/>
  <c r="N822" i="1"/>
  <c r="L822" i="1"/>
  <c r="O822" i="1" s="1"/>
  <c r="O821" i="1"/>
  <c r="J821" i="1"/>
  <c r="N821" i="1" s="1"/>
  <c r="N820" i="1"/>
  <c r="L819" i="1"/>
  <c r="O819" i="1" s="1"/>
  <c r="O818" i="1"/>
  <c r="N818" i="1"/>
  <c r="O817" i="1"/>
  <c r="O816" i="1"/>
  <c r="L815" i="1"/>
  <c r="N814" i="1"/>
  <c r="M814" i="1"/>
  <c r="L814" i="1"/>
  <c r="K814" i="1"/>
  <c r="J814" i="1"/>
  <c r="I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N799" i="1"/>
  <c r="M799" i="1"/>
  <c r="L799" i="1"/>
  <c r="K799" i="1"/>
  <c r="J799" i="1"/>
  <c r="I799" i="1"/>
  <c r="O798" i="1"/>
  <c r="O797" i="1"/>
  <c r="O796" i="1"/>
  <c r="O795" i="1"/>
  <c r="M794" i="1"/>
  <c r="K794" i="1"/>
  <c r="I794" i="1"/>
  <c r="L793" i="1"/>
  <c r="N793" i="1" s="1"/>
  <c r="L792" i="1"/>
  <c r="N792" i="1" s="1"/>
  <c r="L791" i="1"/>
  <c r="O791" i="1" s="1"/>
  <c r="L790" i="1"/>
  <c r="O790" i="1" s="1"/>
  <c r="L789" i="1"/>
  <c r="O789" i="1" s="1"/>
  <c r="J789" i="1"/>
  <c r="J794" i="1" s="1"/>
  <c r="L788" i="1"/>
  <c r="I786" i="1"/>
  <c r="O785" i="1"/>
  <c r="O784" i="1"/>
  <c r="O783" i="1"/>
  <c r="L782" i="1"/>
  <c r="O782" i="1" s="1"/>
  <c r="L781" i="1"/>
  <c r="O781" i="1" s="1"/>
  <c r="L780" i="1"/>
  <c r="O780" i="1" s="1"/>
  <c r="O779" i="1"/>
  <c r="L778" i="1"/>
  <c r="O778" i="1" s="1"/>
  <c r="L777" i="1"/>
  <c r="O777" i="1" s="1"/>
  <c r="L776" i="1"/>
  <c r="O776" i="1" s="1"/>
  <c r="L775" i="1"/>
  <c r="O775" i="1" s="1"/>
  <c r="L774" i="1"/>
  <c r="O774" i="1" s="1"/>
  <c r="L773" i="1"/>
  <c r="O773" i="1" s="1"/>
  <c r="L772" i="1"/>
  <c r="O772" i="1" s="1"/>
  <c r="L771" i="1"/>
  <c r="O771" i="1" s="1"/>
  <c r="O770" i="1"/>
  <c r="O769" i="1"/>
  <c r="L768" i="1"/>
  <c r="O768" i="1" s="1"/>
  <c r="L767" i="1"/>
  <c r="O767" i="1" s="1"/>
  <c r="L766" i="1"/>
  <c r="O766" i="1" s="1"/>
  <c r="L765" i="1"/>
  <c r="O765" i="1" s="1"/>
  <c r="N764" i="1"/>
  <c r="L764" i="1"/>
  <c r="O764" i="1" s="1"/>
  <c r="L763" i="1"/>
  <c r="O763" i="1" s="1"/>
  <c r="L762" i="1"/>
  <c r="O762" i="1" s="1"/>
  <c r="L761" i="1"/>
  <c r="O761" i="1" s="1"/>
  <c r="L760" i="1"/>
  <c r="O760" i="1" s="1"/>
  <c r="J760" i="1"/>
  <c r="L759" i="1"/>
  <c r="O759" i="1" s="1"/>
  <c r="L758" i="1"/>
  <c r="O758" i="1" s="1"/>
  <c r="L757" i="1"/>
  <c r="O757" i="1" s="1"/>
  <c r="L756" i="1"/>
  <c r="O756" i="1" s="1"/>
  <c r="L755" i="1"/>
  <c r="O755" i="1" s="1"/>
  <c r="O754" i="1"/>
  <c r="M753" i="1"/>
  <c r="L753" i="1"/>
  <c r="L752" i="1"/>
  <c r="O752" i="1" s="1"/>
  <c r="L751" i="1"/>
  <c r="O751" i="1" s="1"/>
  <c r="L750" i="1"/>
  <c r="O750" i="1" s="1"/>
  <c r="O749" i="1"/>
  <c r="O748" i="1"/>
  <c r="N748" i="1"/>
  <c r="O747" i="1"/>
  <c r="N747" i="1"/>
  <c r="O746" i="1"/>
  <c r="N746" i="1"/>
  <c r="O745" i="1"/>
  <c r="N745" i="1"/>
  <c r="O744" i="1"/>
  <c r="N744" i="1"/>
  <c r="N743" i="1"/>
  <c r="L743" i="1"/>
  <c r="O743" i="1" s="1"/>
  <c r="N742" i="1"/>
  <c r="L742" i="1"/>
  <c r="O742" i="1" s="1"/>
  <c r="L741" i="1"/>
  <c r="O741" i="1" s="1"/>
  <c r="J741" i="1"/>
  <c r="N741" i="1" s="1"/>
  <c r="L740" i="1"/>
  <c r="O740" i="1" s="1"/>
  <c r="J740" i="1"/>
  <c r="N740" i="1" s="1"/>
  <c r="O739" i="1"/>
  <c r="O738" i="1"/>
  <c r="J738" i="1"/>
  <c r="N738" i="1" s="1"/>
  <c r="N737" i="1"/>
  <c r="L737" i="1"/>
  <c r="O737" i="1" s="1"/>
  <c r="O736" i="1"/>
  <c r="O735" i="1"/>
  <c r="L734" i="1"/>
  <c r="O734" i="1" s="1"/>
  <c r="O733" i="1"/>
  <c r="O732" i="1"/>
  <c r="O731" i="1"/>
  <c r="J731" i="1"/>
  <c r="L730" i="1"/>
  <c r="O730" i="1" s="1"/>
  <c r="O729" i="1"/>
  <c r="L728" i="1"/>
  <c r="O728" i="1" s="1"/>
  <c r="O727" i="1"/>
  <c r="N727" i="1"/>
  <c r="O726" i="1"/>
  <c r="L725" i="1"/>
  <c r="O725" i="1" s="1"/>
  <c r="L724" i="1"/>
  <c r="O724" i="1" s="1"/>
  <c r="O723" i="1"/>
  <c r="L722" i="1"/>
  <c r="O722" i="1" s="1"/>
  <c r="N721" i="1"/>
  <c r="L721" i="1"/>
  <c r="O721" i="1" s="1"/>
  <c r="L720" i="1"/>
  <c r="O720" i="1" s="1"/>
  <c r="L719" i="1"/>
  <c r="O719" i="1" s="1"/>
  <c r="O718" i="1"/>
  <c r="L717" i="1"/>
  <c r="O717" i="1" s="1"/>
  <c r="L716" i="1"/>
  <c r="O716" i="1" s="1"/>
  <c r="L715" i="1"/>
  <c r="O715" i="1" s="1"/>
  <c r="O714" i="1"/>
  <c r="N714" i="1"/>
  <c r="O713" i="1"/>
  <c r="N713" i="1"/>
  <c r="M713" i="1"/>
  <c r="L712" i="1"/>
  <c r="O712" i="1" s="1"/>
  <c r="O711" i="1"/>
  <c r="L710" i="1"/>
  <c r="O710" i="1" s="1"/>
  <c r="O709" i="1"/>
  <c r="O708" i="1"/>
  <c r="L707" i="1"/>
  <c r="O707" i="1" s="1"/>
  <c r="O706" i="1"/>
  <c r="N706" i="1"/>
  <c r="O705" i="1"/>
  <c r="O704" i="1"/>
  <c r="O703" i="1"/>
  <c r="O702" i="1"/>
  <c r="O701" i="1"/>
  <c r="O700" i="1"/>
  <c r="O699" i="1"/>
  <c r="O697" i="1"/>
  <c r="O696" i="1"/>
  <c r="O695" i="1"/>
  <c r="M695" i="1"/>
  <c r="L694" i="1"/>
  <c r="O694" i="1" s="1"/>
  <c r="O693" i="1"/>
  <c r="J693" i="1"/>
  <c r="O692" i="1"/>
  <c r="O691" i="1"/>
  <c r="O690" i="1"/>
  <c r="O689" i="1"/>
  <c r="L688" i="1"/>
  <c r="O688" i="1" s="1"/>
  <c r="O687" i="1"/>
  <c r="O686" i="1"/>
  <c r="L685" i="1"/>
  <c r="O685" i="1" s="1"/>
  <c r="O684" i="1"/>
  <c r="O683" i="1"/>
  <c r="L682" i="1"/>
  <c r="O681" i="1"/>
  <c r="N680" i="1"/>
  <c r="M680" i="1"/>
  <c r="K680" i="1"/>
  <c r="J680" i="1"/>
  <c r="I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L637" i="1"/>
  <c r="O637" i="1" s="1"/>
  <c r="O636" i="1"/>
  <c r="Q635" i="1"/>
  <c r="Q787" i="1" s="1"/>
  <c r="Q1161" i="1" s="1"/>
  <c r="P635" i="1"/>
  <c r="P787" i="1" s="1"/>
  <c r="P1161" i="1" s="1"/>
  <c r="M635" i="1"/>
  <c r="K635" i="1"/>
  <c r="J635" i="1"/>
  <c r="I635" i="1"/>
  <c r="L634" i="1"/>
  <c r="O634" i="1" s="1"/>
  <c r="L633" i="1"/>
  <c r="O633" i="1" s="1"/>
  <c r="L632" i="1"/>
  <c r="O632" i="1" s="1"/>
  <c r="L631" i="1"/>
  <c r="O631" i="1" s="1"/>
  <c r="L630" i="1"/>
  <c r="O630" i="1" s="1"/>
  <c r="L629" i="1"/>
  <c r="O629" i="1" s="1"/>
  <c r="L628" i="1"/>
  <c r="O628" i="1" s="1"/>
  <c r="L627" i="1"/>
  <c r="O627" i="1" s="1"/>
  <c r="L626" i="1"/>
  <c r="O626" i="1" s="1"/>
  <c r="L625" i="1"/>
  <c r="O625" i="1" s="1"/>
  <c r="L624" i="1"/>
  <c r="O624" i="1" s="1"/>
  <c r="L623" i="1"/>
  <c r="O623" i="1" s="1"/>
  <c r="L622" i="1"/>
  <c r="O622" i="1" s="1"/>
  <c r="L621" i="1"/>
  <c r="O621" i="1" s="1"/>
  <c r="L620" i="1"/>
  <c r="O620" i="1" s="1"/>
  <c r="L619" i="1"/>
  <c r="O619" i="1" s="1"/>
  <c r="L618" i="1"/>
  <c r="O618" i="1" s="1"/>
  <c r="L617" i="1"/>
  <c r="O617" i="1" s="1"/>
  <c r="L616" i="1"/>
  <c r="O616" i="1" s="1"/>
  <c r="L615" i="1"/>
  <c r="O615" i="1" s="1"/>
  <c r="L614" i="1"/>
  <c r="O614" i="1" s="1"/>
  <c r="L613" i="1"/>
  <c r="O613" i="1" s="1"/>
  <c r="L612" i="1"/>
  <c r="O612" i="1" s="1"/>
  <c r="L611" i="1"/>
  <c r="O611" i="1" s="1"/>
  <c r="L610" i="1"/>
  <c r="O610" i="1" s="1"/>
  <c r="L609" i="1"/>
  <c r="O609" i="1" s="1"/>
  <c r="L608" i="1"/>
  <c r="O608" i="1" s="1"/>
  <c r="L607" i="1"/>
  <c r="O607" i="1" s="1"/>
  <c r="L606" i="1"/>
  <c r="O606" i="1" s="1"/>
  <c r="L605" i="1"/>
  <c r="O605" i="1" s="1"/>
  <c r="L604" i="1"/>
  <c r="O604" i="1" s="1"/>
  <c r="L603" i="1"/>
  <c r="O603" i="1" s="1"/>
  <c r="L602" i="1"/>
  <c r="O602" i="1" s="1"/>
  <c r="L601" i="1"/>
  <c r="O601" i="1" s="1"/>
  <c r="L600" i="1"/>
  <c r="O600" i="1" s="1"/>
  <c r="L599" i="1"/>
  <c r="O599" i="1" s="1"/>
  <c r="L598" i="1"/>
  <c r="O598" i="1" s="1"/>
  <c r="L597" i="1"/>
  <c r="O597" i="1" s="1"/>
  <c r="L596" i="1"/>
  <c r="O596" i="1" s="1"/>
  <c r="L595" i="1"/>
  <c r="O595" i="1" s="1"/>
  <c r="L594" i="1"/>
  <c r="O594" i="1" s="1"/>
  <c r="L593" i="1"/>
  <c r="O593" i="1" s="1"/>
  <c r="O592" i="1"/>
  <c r="O591" i="1"/>
  <c r="L590" i="1"/>
  <c r="O590" i="1" s="1"/>
  <c r="L589" i="1"/>
  <c r="O589" i="1" s="1"/>
  <c r="L588" i="1"/>
  <c r="O588" i="1" s="1"/>
  <c r="L587" i="1"/>
  <c r="O587" i="1" s="1"/>
  <c r="L586" i="1"/>
  <c r="O586" i="1" s="1"/>
  <c r="L585" i="1"/>
  <c r="O585" i="1" s="1"/>
  <c r="L584" i="1"/>
  <c r="O584" i="1" s="1"/>
  <c r="L583" i="1"/>
  <c r="O583" i="1" s="1"/>
  <c r="L582" i="1"/>
  <c r="O582" i="1" s="1"/>
  <c r="O581" i="1"/>
  <c r="L580" i="1"/>
  <c r="O580" i="1" s="1"/>
  <c r="L579" i="1"/>
  <c r="O579" i="1" s="1"/>
  <c r="L578" i="1"/>
  <c r="O578" i="1" s="1"/>
  <c r="L577" i="1"/>
  <c r="O577" i="1" s="1"/>
  <c r="L576" i="1"/>
  <c r="O576" i="1" s="1"/>
  <c r="O575" i="1"/>
  <c r="L574" i="1"/>
  <c r="O574" i="1" s="1"/>
  <c r="L573" i="1"/>
  <c r="O573" i="1" s="1"/>
  <c r="L572" i="1"/>
  <c r="O572" i="1" s="1"/>
  <c r="L571" i="1"/>
  <c r="O571" i="1" s="1"/>
  <c r="L570" i="1"/>
  <c r="O570" i="1" s="1"/>
  <c r="L569" i="1"/>
  <c r="O569" i="1" s="1"/>
  <c r="L568" i="1"/>
  <c r="O568" i="1" s="1"/>
  <c r="O567" i="1"/>
  <c r="L566" i="1"/>
  <c r="O566" i="1" s="1"/>
  <c r="L565" i="1"/>
  <c r="O565" i="1" s="1"/>
  <c r="L564" i="1"/>
  <c r="O564" i="1" s="1"/>
  <c r="L563" i="1"/>
  <c r="O563" i="1" s="1"/>
  <c r="L562" i="1"/>
  <c r="O562" i="1" s="1"/>
  <c r="L561" i="1"/>
  <c r="O561" i="1" s="1"/>
  <c r="L560" i="1"/>
  <c r="O560" i="1" s="1"/>
  <c r="L559" i="1"/>
  <c r="O559" i="1" s="1"/>
  <c r="L558" i="1"/>
  <c r="O558" i="1" s="1"/>
  <c r="L557" i="1"/>
  <c r="O557" i="1" s="1"/>
  <c r="L556" i="1"/>
  <c r="O556" i="1" s="1"/>
  <c r="L555" i="1"/>
  <c r="O555" i="1" s="1"/>
  <c r="L554" i="1"/>
  <c r="N554" i="1" s="1"/>
  <c r="N635" i="1" s="1"/>
  <c r="L553" i="1"/>
  <c r="O553" i="1" s="1"/>
  <c r="L552" i="1"/>
  <c r="O552" i="1" s="1"/>
  <c r="L551" i="1"/>
  <c r="O551" i="1" s="1"/>
  <c r="L550" i="1"/>
  <c r="O550" i="1" s="1"/>
  <c r="O549" i="1"/>
  <c r="L548" i="1"/>
  <c r="O548" i="1" s="1"/>
  <c r="L547" i="1"/>
  <c r="O547" i="1" s="1"/>
  <c r="L546" i="1"/>
  <c r="O546" i="1" s="1"/>
  <c r="L545" i="1"/>
  <c r="L544" i="1"/>
  <c r="O544" i="1" s="1"/>
  <c r="L543" i="1"/>
  <c r="O543" i="1" s="1"/>
  <c r="L542" i="1"/>
  <c r="O542" i="1" s="1"/>
  <c r="L541" i="1"/>
  <c r="O541" i="1" s="1"/>
  <c r="L540" i="1"/>
  <c r="O540" i="1" s="1"/>
  <c r="L539" i="1"/>
  <c r="O539" i="1" s="1"/>
  <c r="L538" i="1"/>
  <c r="O538" i="1" s="1"/>
  <c r="L537" i="1"/>
  <c r="O537" i="1" s="1"/>
  <c r="L536" i="1"/>
  <c r="O536" i="1" s="1"/>
  <c r="L535" i="1"/>
  <c r="L534" i="1"/>
  <c r="L533" i="1"/>
  <c r="O532" i="1"/>
  <c r="N532" i="1"/>
  <c r="M532" i="1"/>
  <c r="L532" i="1"/>
  <c r="K532" i="1"/>
  <c r="J532" i="1"/>
  <c r="I532" i="1"/>
  <c r="I787" i="1" s="1"/>
  <c r="K496" i="1"/>
  <c r="I496" i="1"/>
  <c r="L495" i="1"/>
  <c r="O495" i="1" s="1"/>
  <c r="L494" i="1"/>
  <c r="O494" i="1" s="1"/>
  <c r="O493" i="1"/>
  <c r="J493" i="1"/>
  <c r="L492" i="1"/>
  <c r="O492" i="1" s="1"/>
  <c r="O491" i="1"/>
  <c r="L490" i="1"/>
  <c r="O490" i="1" s="1"/>
  <c r="O489" i="1"/>
  <c r="L488" i="1"/>
  <c r="O488" i="1" s="1"/>
  <c r="L487" i="1"/>
  <c r="O487" i="1" s="1"/>
  <c r="L486" i="1"/>
  <c r="O486" i="1" s="1"/>
  <c r="L485" i="1"/>
  <c r="O485" i="1" s="1"/>
  <c r="L484" i="1"/>
  <c r="O484" i="1" s="1"/>
  <c r="L483" i="1"/>
  <c r="O483" i="1" s="1"/>
  <c r="L482" i="1"/>
  <c r="O482" i="1" s="1"/>
  <c r="L481" i="1"/>
  <c r="O481" i="1" s="1"/>
  <c r="L480" i="1"/>
  <c r="O480" i="1" s="1"/>
  <c r="L479" i="1"/>
  <c r="O479" i="1" s="1"/>
  <c r="L478" i="1"/>
  <c r="O478" i="1" s="1"/>
  <c r="J478" i="1"/>
  <c r="O477" i="1"/>
  <c r="L476" i="1"/>
  <c r="O476" i="1" s="1"/>
  <c r="L475" i="1"/>
  <c r="O475" i="1" s="1"/>
  <c r="L474" i="1"/>
  <c r="O474" i="1" s="1"/>
  <c r="L473" i="1"/>
  <c r="O473" i="1" s="1"/>
  <c r="O472" i="1"/>
  <c r="L471" i="1"/>
  <c r="O471" i="1" s="1"/>
  <c r="L470" i="1"/>
  <c r="O470" i="1" s="1"/>
  <c r="L469" i="1"/>
  <c r="O469" i="1" s="1"/>
  <c r="L468" i="1"/>
  <c r="O468" i="1" s="1"/>
  <c r="L467" i="1"/>
  <c r="O467" i="1" s="1"/>
  <c r="L466" i="1"/>
  <c r="O466" i="1" s="1"/>
  <c r="L465" i="1"/>
  <c r="O465" i="1" s="1"/>
  <c r="J465" i="1"/>
  <c r="O464" i="1"/>
  <c r="N463" i="1"/>
  <c r="L463" i="1"/>
  <c r="O463" i="1" s="1"/>
  <c r="J463" i="1"/>
  <c r="L462" i="1"/>
  <c r="O462" i="1" s="1"/>
  <c r="O461" i="1"/>
  <c r="L460" i="1"/>
  <c r="O460" i="1" s="1"/>
  <c r="L459" i="1"/>
  <c r="O459" i="1" s="1"/>
  <c r="L458" i="1"/>
  <c r="O458" i="1" s="1"/>
  <c r="L457" i="1"/>
  <c r="O457" i="1" s="1"/>
  <c r="L456" i="1"/>
  <c r="O456" i="1" s="1"/>
  <c r="L455" i="1"/>
  <c r="O455" i="1" s="1"/>
  <c r="L454" i="1"/>
  <c r="O454" i="1" s="1"/>
  <c r="L453" i="1"/>
  <c r="O453" i="1" s="1"/>
  <c r="L452" i="1"/>
  <c r="O452" i="1" s="1"/>
  <c r="L451" i="1"/>
  <c r="O451" i="1" s="1"/>
  <c r="L450" i="1"/>
  <c r="O450" i="1" s="1"/>
  <c r="O449" i="1"/>
  <c r="J449" i="1"/>
  <c r="N449" i="1" s="1"/>
  <c r="L448" i="1"/>
  <c r="O448" i="1" s="1"/>
  <c r="J448" i="1"/>
  <c r="O447" i="1"/>
  <c r="O446" i="1"/>
  <c r="O445" i="1"/>
  <c r="L444" i="1"/>
  <c r="O444" i="1" s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L429" i="1"/>
  <c r="O429" i="1" s="1"/>
  <c r="J429" i="1"/>
  <c r="L428" i="1"/>
  <c r="O428" i="1" s="1"/>
  <c r="L427" i="1"/>
  <c r="O427" i="1" s="1"/>
  <c r="L426" i="1"/>
  <c r="O426" i="1" s="1"/>
  <c r="N425" i="1"/>
  <c r="L425" i="1"/>
  <c r="O425" i="1" s="1"/>
  <c r="L424" i="1"/>
  <c r="O424" i="1" s="1"/>
  <c r="O423" i="1"/>
  <c r="O422" i="1"/>
  <c r="O421" i="1"/>
  <c r="L420" i="1"/>
  <c r="O420" i="1" s="1"/>
  <c r="O419" i="1"/>
  <c r="O418" i="1"/>
  <c r="O417" i="1"/>
  <c r="O416" i="1"/>
  <c r="O415" i="1"/>
  <c r="O414" i="1"/>
  <c r="J414" i="1"/>
  <c r="O413" i="1"/>
  <c r="O412" i="1"/>
  <c r="L411" i="1"/>
  <c r="O411" i="1" s="1"/>
  <c r="L410" i="1"/>
  <c r="O410" i="1" s="1"/>
  <c r="L409" i="1"/>
  <c r="O409" i="1" s="1"/>
  <c r="O408" i="1"/>
  <c r="O407" i="1"/>
  <c r="O406" i="1"/>
  <c r="O405" i="1"/>
  <c r="L404" i="1"/>
  <c r="O404" i="1" s="1"/>
  <c r="O403" i="1"/>
  <c r="O402" i="1"/>
  <c r="L401" i="1"/>
  <c r="O401" i="1" s="1"/>
  <c r="L400" i="1"/>
  <c r="O400" i="1" s="1"/>
  <c r="O399" i="1"/>
  <c r="L398" i="1"/>
  <c r="O398" i="1" s="1"/>
  <c r="O397" i="1"/>
  <c r="L396" i="1"/>
  <c r="O396" i="1" s="1"/>
  <c r="O395" i="1"/>
  <c r="O394" i="1"/>
  <c r="O393" i="1"/>
  <c r="O392" i="1"/>
  <c r="O391" i="1"/>
  <c r="L390" i="1"/>
  <c r="O390" i="1" s="1"/>
  <c r="L389" i="1"/>
  <c r="O389" i="1" s="1"/>
  <c r="L388" i="1"/>
  <c r="O388" i="1" s="1"/>
  <c r="O387" i="1"/>
  <c r="O386" i="1"/>
  <c r="O385" i="1"/>
  <c r="L384" i="1"/>
  <c r="O384" i="1" s="1"/>
  <c r="O383" i="1"/>
  <c r="O382" i="1"/>
  <c r="L381" i="1"/>
  <c r="O381" i="1" s="1"/>
  <c r="O380" i="1"/>
  <c r="O379" i="1"/>
  <c r="O378" i="1"/>
  <c r="O377" i="1"/>
  <c r="M376" i="1"/>
  <c r="J376" i="1"/>
  <c r="L375" i="1"/>
  <c r="O375" i="1" s="1"/>
  <c r="O374" i="1"/>
  <c r="N374" i="1"/>
  <c r="O373" i="1"/>
  <c r="O372" i="1"/>
  <c r="O371" i="1"/>
  <c r="O370" i="1"/>
  <c r="O369" i="1"/>
  <c r="O368" i="1"/>
  <c r="L367" i="1"/>
  <c r="O367" i="1" s="1"/>
  <c r="O366" i="1"/>
  <c r="M365" i="1"/>
  <c r="L365" i="1"/>
  <c r="O365" i="1" s="1"/>
  <c r="O364" i="1"/>
  <c r="O363" i="1"/>
  <c r="L362" i="1"/>
  <c r="O362" i="1" s="1"/>
  <c r="J362" i="1"/>
  <c r="O361" i="1"/>
  <c r="J361" i="1"/>
  <c r="O360" i="1"/>
  <c r="L359" i="1"/>
  <c r="O359" i="1" s="1"/>
  <c r="O358" i="1"/>
  <c r="N358" i="1"/>
  <c r="O357" i="1"/>
  <c r="O356" i="1"/>
  <c r="O355" i="1"/>
  <c r="O354" i="1"/>
  <c r="O353" i="1"/>
  <c r="N353" i="1"/>
  <c r="O352" i="1"/>
  <c r="N352" i="1"/>
  <c r="L351" i="1"/>
  <c r="O351" i="1" s="1"/>
  <c r="O348" i="1"/>
  <c r="O347" i="1"/>
  <c r="L346" i="1"/>
  <c r="O346" i="1" s="1"/>
  <c r="O345" i="1"/>
  <c r="O344" i="1"/>
  <c r="O343" i="1"/>
  <c r="N342" i="1"/>
  <c r="M342" i="1"/>
  <c r="K342" i="1"/>
  <c r="J342" i="1"/>
  <c r="I342" i="1"/>
  <c r="L341" i="1"/>
  <c r="O341" i="1" s="1"/>
  <c r="L340" i="1"/>
  <c r="O340" i="1" s="1"/>
  <c r="L339" i="1"/>
  <c r="O339" i="1" s="1"/>
  <c r="L338" i="1"/>
  <c r="O338" i="1" s="1"/>
  <c r="L337" i="1"/>
  <c r="O337" i="1" s="1"/>
  <c r="L336" i="1"/>
  <c r="O336" i="1" s="1"/>
  <c r="L335" i="1"/>
  <c r="O335" i="1" s="1"/>
  <c r="L334" i="1"/>
  <c r="O334" i="1" s="1"/>
  <c r="L333" i="1"/>
  <c r="O333" i="1" s="1"/>
  <c r="L332" i="1"/>
  <c r="O332" i="1" s="1"/>
  <c r="L331" i="1"/>
  <c r="O331" i="1" s="1"/>
  <c r="L330" i="1"/>
  <c r="O330" i="1" s="1"/>
  <c r="L329" i="1"/>
  <c r="O329" i="1" s="1"/>
  <c r="L328" i="1"/>
  <c r="O328" i="1" s="1"/>
  <c r="L327" i="1"/>
  <c r="O327" i="1" s="1"/>
  <c r="L326" i="1"/>
  <c r="O326" i="1" s="1"/>
  <c r="L325" i="1"/>
  <c r="O325" i="1" s="1"/>
  <c r="L324" i="1"/>
  <c r="O324" i="1" s="1"/>
  <c r="L323" i="1"/>
  <c r="O323" i="1" s="1"/>
  <c r="L322" i="1"/>
  <c r="O322" i="1" s="1"/>
  <c r="L321" i="1"/>
  <c r="O321" i="1" s="1"/>
  <c r="L320" i="1"/>
  <c r="O320" i="1" s="1"/>
  <c r="L319" i="1"/>
  <c r="O319" i="1" s="1"/>
  <c r="L318" i="1"/>
  <c r="O318" i="1" s="1"/>
  <c r="L317" i="1"/>
  <c r="O317" i="1" s="1"/>
  <c r="L316" i="1"/>
  <c r="O316" i="1" s="1"/>
  <c r="L315" i="1"/>
  <c r="O315" i="1" s="1"/>
  <c r="L314" i="1"/>
  <c r="O314" i="1" s="1"/>
  <c r="L313" i="1"/>
  <c r="O313" i="1" s="1"/>
  <c r="L312" i="1"/>
  <c r="O312" i="1" s="1"/>
  <c r="L311" i="1"/>
  <c r="O311" i="1" s="1"/>
  <c r="L310" i="1"/>
  <c r="O310" i="1" s="1"/>
  <c r="L309" i="1"/>
  <c r="O309" i="1" s="1"/>
  <c r="L308" i="1"/>
  <c r="O308" i="1" s="1"/>
  <c r="L307" i="1"/>
  <c r="O307" i="1" s="1"/>
  <c r="L306" i="1"/>
  <c r="M305" i="1"/>
  <c r="K305" i="1"/>
  <c r="J305" i="1"/>
  <c r="I305" i="1"/>
  <c r="N304" i="1"/>
  <c r="L304" i="1"/>
  <c r="O304" i="1" s="1"/>
  <c r="O303" i="1"/>
  <c r="N303" i="1"/>
  <c r="N302" i="1"/>
  <c r="L302" i="1"/>
  <c r="O302" i="1" s="1"/>
  <c r="N301" i="1"/>
  <c r="L301" i="1"/>
  <c r="O301" i="1" s="1"/>
  <c r="N300" i="1"/>
  <c r="L300" i="1"/>
  <c r="O300" i="1" s="1"/>
  <c r="N299" i="1"/>
  <c r="L299" i="1"/>
  <c r="O299" i="1" s="1"/>
  <c r="N298" i="1"/>
  <c r="L298" i="1"/>
  <c r="O298" i="1" s="1"/>
  <c r="N297" i="1"/>
  <c r="L297" i="1"/>
  <c r="O297" i="1" s="1"/>
  <c r="N296" i="1"/>
  <c r="L296" i="1"/>
  <c r="O296" i="1" s="1"/>
  <c r="N295" i="1"/>
  <c r="L295" i="1"/>
  <c r="O295" i="1" s="1"/>
  <c r="N294" i="1"/>
  <c r="L294" i="1"/>
  <c r="O294" i="1" s="1"/>
  <c r="N293" i="1"/>
  <c r="L293" i="1"/>
  <c r="O293" i="1" s="1"/>
  <c r="N292" i="1"/>
  <c r="L292" i="1"/>
  <c r="O292" i="1" s="1"/>
  <c r="N291" i="1"/>
  <c r="L291" i="1"/>
  <c r="O291" i="1" s="1"/>
  <c r="N290" i="1"/>
  <c r="L290" i="1"/>
  <c r="O290" i="1" s="1"/>
  <c r="N289" i="1"/>
  <c r="L289" i="1"/>
  <c r="O289" i="1" s="1"/>
  <c r="N288" i="1"/>
  <c r="L288" i="1"/>
  <c r="O288" i="1" s="1"/>
  <c r="N287" i="1"/>
  <c r="L287" i="1"/>
  <c r="O287" i="1" s="1"/>
  <c r="N286" i="1"/>
  <c r="L286" i="1"/>
  <c r="O286" i="1" s="1"/>
  <c r="N285" i="1"/>
  <c r="L285" i="1"/>
  <c r="O285" i="1" s="1"/>
  <c r="N284" i="1"/>
  <c r="L284" i="1"/>
  <c r="O284" i="1" s="1"/>
  <c r="N283" i="1"/>
  <c r="L283" i="1"/>
  <c r="O283" i="1" s="1"/>
  <c r="N282" i="1"/>
  <c r="L282" i="1"/>
  <c r="O282" i="1" s="1"/>
  <c r="N281" i="1"/>
  <c r="L281" i="1"/>
  <c r="O281" i="1" s="1"/>
  <c r="N280" i="1"/>
  <c r="L280" i="1"/>
  <c r="O280" i="1" s="1"/>
  <c r="N279" i="1"/>
  <c r="L279" i="1"/>
  <c r="O279" i="1" s="1"/>
  <c r="N278" i="1"/>
  <c r="L278" i="1"/>
  <c r="O278" i="1" s="1"/>
  <c r="N277" i="1"/>
  <c r="L277" i="1"/>
  <c r="O277" i="1" s="1"/>
  <c r="N276" i="1"/>
  <c r="L276" i="1"/>
  <c r="O276" i="1" s="1"/>
  <c r="N275" i="1"/>
  <c r="L275" i="1"/>
  <c r="O275" i="1" s="1"/>
  <c r="N274" i="1"/>
  <c r="L274" i="1"/>
  <c r="O274" i="1" s="1"/>
  <c r="N273" i="1"/>
  <c r="L273" i="1"/>
  <c r="O273" i="1" s="1"/>
  <c r="N272" i="1"/>
  <c r="L272" i="1"/>
  <c r="O272" i="1" s="1"/>
  <c r="N271" i="1"/>
  <c r="L271" i="1"/>
  <c r="O271" i="1" s="1"/>
  <c r="N270" i="1"/>
  <c r="L270" i="1"/>
  <c r="O270" i="1" s="1"/>
  <c r="N269" i="1"/>
  <c r="L269" i="1"/>
  <c r="O269" i="1" s="1"/>
  <c r="N268" i="1"/>
  <c r="L268" i="1"/>
  <c r="O268" i="1" s="1"/>
  <c r="N267" i="1"/>
  <c r="L267" i="1"/>
  <c r="O267" i="1" s="1"/>
  <c r="N266" i="1"/>
  <c r="L266" i="1"/>
  <c r="O266" i="1" s="1"/>
  <c r="N265" i="1"/>
  <c r="L265" i="1"/>
  <c r="O265" i="1" s="1"/>
  <c r="N264" i="1"/>
  <c r="L264" i="1"/>
  <c r="O264" i="1" s="1"/>
  <c r="N263" i="1"/>
  <c r="L263" i="1"/>
  <c r="O263" i="1" s="1"/>
  <c r="N262" i="1"/>
  <c r="L262" i="1"/>
  <c r="O262" i="1" s="1"/>
  <c r="N261" i="1"/>
  <c r="L261" i="1"/>
  <c r="O261" i="1" s="1"/>
  <c r="N260" i="1"/>
  <c r="L260" i="1"/>
  <c r="O260" i="1" s="1"/>
  <c r="N259" i="1"/>
  <c r="L259" i="1"/>
  <c r="O259" i="1" s="1"/>
  <c r="N258" i="1"/>
  <c r="L258" i="1"/>
  <c r="O258" i="1" s="1"/>
  <c r="N257" i="1"/>
  <c r="L257" i="1"/>
  <c r="O257" i="1" s="1"/>
  <c r="N256" i="1"/>
  <c r="L256" i="1"/>
  <c r="O256" i="1" s="1"/>
  <c r="N255" i="1"/>
  <c r="L255" i="1"/>
  <c r="O255" i="1" s="1"/>
  <c r="N254" i="1"/>
  <c r="L254" i="1"/>
  <c r="O254" i="1" s="1"/>
  <c r="N253" i="1"/>
  <c r="L253" i="1"/>
  <c r="O253" i="1" s="1"/>
  <c r="N252" i="1"/>
  <c r="L252" i="1"/>
  <c r="O252" i="1" s="1"/>
  <c r="N251" i="1"/>
  <c r="L251" i="1"/>
  <c r="O251" i="1" s="1"/>
  <c r="N250" i="1"/>
  <c r="L250" i="1"/>
  <c r="O250" i="1" s="1"/>
  <c r="N249" i="1"/>
  <c r="L249" i="1"/>
  <c r="O249" i="1" s="1"/>
  <c r="N248" i="1"/>
  <c r="L248" i="1"/>
  <c r="O248" i="1" s="1"/>
  <c r="N247" i="1"/>
  <c r="L247" i="1"/>
  <c r="O247" i="1" s="1"/>
  <c r="N246" i="1"/>
  <c r="L246" i="1"/>
  <c r="O246" i="1" s="1"/>
  <c r="N245" i="1"/>
  <c r="L245" i="1"/>
  <c r="O245" i="1" s="1"/>
  <c r="N244" i="1"/>
  <c r="L244" i="1"/>
  <c r="O244" i="1" s="1"/>
  <c r="N243" i="1"/>
  <c r="L243" i="1"/>
  <c r="O243" i="1" s="1"/>
  <c r="N242" i="1"/>
  <c r="L242" i="1"/>
  <c r="O242" i="1" s="1"/>
  <c r="N241" i="1"/>
  <c r="L241" i="1"/>
  <c r="O241" i="1" s="1"/>
  <c r="N240" i="1"/>
  <c r="L240" i="1"/>
  <c r="O240" i="1" s="1"/>
  <c r="N239" i="1"/>
  <c r="L239" i="1"/>
  <c r="O239" i="1" s="1"/>
  <c r="N238" i="1"/>
  <c r="L238" i="1"/>
  <c r="O238" i="1" s="1"/>
  <c r="N237" i="1"/>
  <c r="L237" i="1"/>
  <c r="O237" i="1" s="1"/>
  <c r="N236" i="1"/>
  <c r="L236" i="1"/>
  <c r="O236" i="1" s="1"/>
  <c r="N235" i="1"/>
  <c r="L235" i="1"/>
  <c r="O235" i="1" s="1"/>
  <c r="N234" i="1"/>
  <c r="L234" i="1"/>
  <c r="O234" i="1" s="1"/>
  <c r="N233" i="1"/>
  <c r="L233" i="1"/>
  <c r="O233" i="1" s="1"/>
  <c r="N232" i="1"/>
  <c r="L232" i="1"/>
  <c r="O232" i="1" s="1"/>
  <c r="N231" i="1"/>
  <c r="L231" i="1"/>
  <c r="O231" i="1" s="1"/>
  <c r="N230" i="1"/>
  <c r="L230" i="1"/>
  <c r="O230" i="1" s="1"/>
  <c r="N229" i="1"/>
  <c r="L229" i="1"/>
  <c r="O229" i="1" s="1"/>
  <c r="N228" i="1"/>
  <c r="L228" i="1"/>
  <c r="O228" i="1" s="1"/>
  <c r="N227" i="1"/>
  <c r="L227" i="1"/>
  <c r="O227" i="1" s="1"/>
  <c r="N226" i="1"/>
  <c r="L226" i="1"/>
  <c r="O226" i="1" s="1"/>
  <c r="N225" i="1"/>
  <c r="L225" i="1"/>
  <c r="O225" i="1" s="1"/>
  <c r="N224" i="1"/>
  <c r="L224" i="1"/>
  <c r="O224" i="1" s="1"/>
  <c r="N223" i="1"/>
  <c r="L223" i="1"/>
  <c r="O223" i="1" s="1"/>
  <c r="N222" i="1"/>
  <c r="L222" i="1"/>
  <c r="O222" i="1" s="1"/>
  <c r="N221" i="1"/>
  <c r="L221" i="1"/>
  <c r="O221" i="1" s="1"/>
  <c r="N220" i="1"/>
  <c r="L220" i="1"/>
  <c r="O220" i="1" s="1"/>
  <c r="N219" i="1"/>
  <c r="L219" i="1"/>
  <c r="O219" i="1" s="1"/>
  <c r="N218" i="1"/>
  <c r="L218" i="1"/>
  <c r="O218" i="1" s="1"/>
  <c r="N217" i="1"/>
  <c r="L217" i="1"/>
  <c r="O217" i="1" s="1"/>
  <c r="N216" i="1"/>
  <c r="L216" i="1"/>
  <c r="O216" i="1" s="1"/>
  <c r="O215" i="1"/>
  <c r="N215" i="1"/>
  <c r="N214" i="1"/>
  <c r="L214" i="1"/>
  <c r="O213" i="1"/>
  <c r="N213" i="1"/>
  <c r="O212" i="1"/>
  <c r="N212" i="1"/>
  <c r="M212" i="1"/>
  <c r="L212" i="1"/>
  <c r="K212" i="1"/>
  <c r="J212" i="1"/>
  <c r="I212" i="1"/>
  <c r="I176" i="1"/>
  <c r="L175" i="1"/>
  <c r="O175" i="1" s="1"/>
  <c r="L174" i="1"/>
  <c r="O174" i="1" s="1"/>
  <c r="L173" i="1"/>
  <c r="O173" i="1" s="1"/>
  <c r="L172" i="1"/>
  <c r="O172" i="1" s="1"/>
  <c r="L171" i="1"/>
  <c r="O171" i="1" s="1"/>
  <c r="L170" i="1"/>
  <c r="O170" i="1" s="1"/>
  <c r="L169" i="1"/>
  <c r="O169" i="1" s="1"/>
  <c r="L168" i="1"/>
  <c r="O168" i="1" s="1"/>
  <c r="L167" i="1"/>
  <c r="O167" i="1" s="1"/>
  <c r="L166" i="1"/>
  <c r="O166" i="1" s="1"/>
  <c r="L165" i="1"/>
  <c r="O165" i="1" s="1"/>
  <c r="L164" i="1"/>
  <c r="O164" i="1" s="1"/>
  <c r="L163" i="1"/>
  <c r="O163" i="1" s="1"/>
  <c r="L162" i="1"/>
  <c r="O162" i="1" s="1"/>
  <c r="J161" i="1"/>
  <c r="M161" i="1" s="1"/>
  <c r="L160" i="1"/>
  <c r="O160" i="1" s="1"/>
  <c r="L159" i="1"/>
  <c r="O159" i="1" s="1"/>
  <c r="L158" i="1"/>
  <c r="O158" i="1" s="1"/>
  <c r="L157" i="1"/>
  <c r="O157" i="1" s="1"/>
  <c r="L156" i="1"/>
  <c r="O156" i="1" s="1"/>
  <c r="O155" i="1"/>
  <c r="L154" i="1"/>
  <c r="O154" i="1" s="1"/>
  <c r="L153" i="1"/>
  <c r="O153" i="1" s="1"/>
  <c r="L152" i="1"/>
  <c r="O152" i="1" s="1"/>
  <c r="L151" i="1"/>
  <c r="O151" i="1" s="1"/>
  <c r="L150" i="1"/>
  <c r="O150" i="1" s="1"/>
  <c r="L149" i="1"/>
  <c r="O149" i="1" s="1"/>
  <c r="L148" i="1"/>
  <c r="O148" i="1" s="1"/>
  <c r="L147" i="1"/>
  <c r="O147" i="1" s="1"/>
  <c r="L146" i="1"/>
  <c r="O146" i="1" s="1"/>
  <c r="L145" i="1"/>
  <c r="O145" i="1" s="1"/>
  <c r="L144" i="1"/>
  <c r="O144" i="1" s="1"/>
  <c r="N143" i="1"/>
  <c r="L143" i="1"/>
  <c r="O143" i="1" s="1"/>
  <c r="J143" i="1"/>
  <c r="O142" i="1"/>
  <c r="N141" i="1"/>
  <c r="L141" i="1"/>
  <c r="O141" i="1" s="1"/>
  <c r="J141" i="1"/>
  <c r="L140" i="1"/>
  <c r="O140" i="1" s="1"/>
  <c r="L139" i="1"/>
  <c r="O139" i="1" s="1"/>
  <c r="L138" i="1"/>
  <c r="O138" i="1" s="1"/>
  <c r="L137" i="1"/>
  <c r="O137" i="1" s="1"/>
  <c r="L136" i="1"/>
  <c r="O136" i="1" s="1"/>
  <c r="L135" i="1"/>
  <c r="O135" i="1" s="1"/>
  <c r="O134" i="1"/>
  <c r="L133" i="1"/>
  <c r="O133" i="1" s="1"/>
  <c r="O132" i="1"/>
  <c r="O131" i="1"/>
  <c r="L130" i="1"/>
  <c r="O130" i="1" s="1"/>
  <c r="L129" i="1"/>
  <c r="O129" i="1" s="1"/>
  <c r="L128" i="1"/>
  <c r="O128" i="1" s="1"/>
  <c r="O127" i="1"/>
  <c r="L126" i="1"/>
  <c r="O126" i="1" s="1"/>
  <c r="O125" i="1"/>
  <c r="O124" i="1"/>
  <c r="O123" i="1"/>
  <c r="O122" i="1"/>
  <c r="O121" i="1"/>
  <c r="O120" i="1"/>
  <c r="O119" i="1"/>
  <c r="O118" i="1"/>
  <c r="O117" i="1"/>
  <c r="L116" i="1"/>
  <c r="O116" i="1" s="1"/>
  <c r="O115" i="1"/>
  <c r="O114" i="1"/>
  <c r="N113" i="1"/>
  <c r="L113" i="1"/>
  <c r="O113" i="1" s="1"/>
  <c r="O112" i="1"/>
  <c r="L111" i="1"/>
  <c r="O111" i="1" s="1"/>
  <c r="O110" i="1"/>
  <c r="O109" i="1"/>
  <c r="L108" i="1"/>
  <c r="O108" i="1" s="1"/>
  <c r="L107" i="1"/>
  <c r="O107" i="1" s="1"/>
  <c r="L106" i="1"/>
  <c r="O106" i="1" s="1"/>
  <c r="O105" i="1"/>
  <c r="O104" i="1"/>
  <c r="O103" i="1"/>
  <c r="O102" i="1"/>
  <c r="N101" i="1"/>
  <c r="L101" i="1"/>
  <c r="O101" i="1" s="1"/>
  <c r="L100" i="1"/>
  <c r="O100" i="1" s="1"/>
  <c r="O99" i="1"/>
  <c r="O98" i="1"/>
  <c r="L97" i="1"/>
  <c r="O97" i="1" s="1"/>
  <c r="O96" i="1"/>
  <c r="O95" i="1"/>
  <c r="O94" i="1"/>
  <c r="O93" i="1"/>
  <c r="O92" i="1"/>
  <c r="O91" i="1"/>
  <c r="O90" i="1"/>
  <c r="O89" i="1"/>
  <c r="O88" i="1"/>
  <c r="O87" i="1"/>
  <c r="O86" i="1"/>
  <c r="L85" i="1"/>
  <c r="O85" i="1" s="1"/>
  <c r="L84" i="1"/>
  <c r="O84" i="1" s="1"/>
  <c r="L82" i="1"/>
  <c r="L81" i="1"/>
  <c r="O80" i="1"/>
  <c r="O79" i="1"/>
  <c r="M78" i="1"/>
  <c r="I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L64" i="1"/>
  <c r="O64" i="1" s="1"/>
  <c r="J64" i="1"/>
  <c r="N64" i="1" s="1"/>
  <c r="L63" i="1"/>
  <c r="O63" i="1" s="1"/>
  <c r="J63" i="1"/>
  <c r="N63" i="1" s="1"/>
  <c r="L62" i="1"/>
  <c r="O61" i="1"/>
  <c r="O60" i="1"/>
  <c r="O59" i="1"/>
  <c r="O58" i="1"/>
  <c r="O57" i="1"/>
  <c r="N56" i="1"/>
  <c r="M56" i="1"/>
  <c r="J56" i="1"/>
  <c r="I56" i="1"/>
  <c r="L55" i="1"/>
  <c r="O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O44" i="1" s="1"/>
  <c r="L43" i="1"/>
  <c r="O43" i="1" s="1"/>
  <c r="L42" i="1"/>
  <c r="O42" i="1" s="1"/>
  <c r="L41" i="1"/>
  <c r="O41" i="1" s="1"/>
  <c r="L40" i="1"/>
  <c r="O40" i="1" s="1"/>
  <c r="L39" i="1"/>
  <c r="O39" i="1" s="1"/>
  <c r="L38" i="1"/>
  <c r="O38" i="1" s="1"/>
  <c r="L37" i="1"/>
  <c r="O37" i="1" s="1"/>
  <c r="L36" i="1"/>
  <c r="O36" i="1" s="1"/>
  <c r="L35" i="1"/>
  <c r="O35" i="1" s="1"/>
  <c r="L34" i="1"/>
  <c r="O34" i="1" s="1"/>
  <c r="L33" i="1"/>
  <c r="O33" i="1" s="1"/>
  <c r="L32" i="1"/>
  <c r="O32" i="1" s="1"/>
  <c r="L31" i="1"/>
  <c r="O31" i="1" s="1"/>
  <c r="L30" i="1"/>
  <c r="O30" i="1" s="1"/>
  <c r="L29" i="1"/>
  <c r="O29" i="1" s="1"/>
  <c r="L28" i="1"/>
  <c r="O28" i="1" s="1"/>
  <c r="L27" i="1"/>
  <c r="O27" i="1" s="1"/>
  <c r="L26" i="1"/>
  <c r="O26" i="1" s="1"/>
  <c r="L25" i="1"/>
  <c r="O25" i="1" s="1"/>
  <c r="L24" i="1"/>
  <c r="O24" i="1" s="1"/>
  <c r="L23" i="1"/>
  <c r="O23" i="1" s="1"/>
  <c r="L22" i="1"/>
  <c r="O22" i="1" s="1"/>
  <c r="O21" i="1"/>
  <c r="O20" i="1"/>
  <c r="L19" i="1"/>
  <c r="O19" i="1" s="1"/>
  <c r="L18" i="1"/>
  <c r="O18" i="1" s="1"/>
  <c r="L17" i="1"/>
  <c r="O17" i="1" s="1"/>
  <c r="L16" i="1"/>
  <c r="O16" i="1" s="1"/>
  <c r="O15" i="1"/>
  <c r="L14" i="1"/>
  <c r="O14" i="1" s="1"/>
  <c r="O13" i="1"/>
  <c r="O12" i="1"/>
  <c r="O11" i="1"/>
  <c r="N11" i="1"/>
  <c r="M11" i="1"/>
  <c r="L11" i="1"/>
  <c r="J11" i="1"/>
  <c r="I11" i="1"/>
  <c r="H28" i="2"/>
  <c r="O24" i="2"/>
  <c r="P24" i="2" s="1"/>
  <c r="M24" i="2"/>
  <c r="N24" i="2" s="1"/>
  <c r="H23" i="2"/>
  <c r="H18" i="2"/>
  <c r="H13" i="2"/>
  <c r="H8" i="2"/>
  <c r="H3" i="2"/>
  <c r="E31" i="2"/>
  <c r="E26" i="2"/>
  <c r="I25" i="2"/>
  <c r="E21" i="2"/>
  <c r="I15" i="2"/>
  <c r="E11" i="2"/>
  <c r="E6" i="2"/>
  <c r="M496" i="1" l="1"/>
  <c r="M497" i="1" s="1"/>
  <c r="M786" i="1"/>
  <c r="M787" i="1" s="1"/>
  <c r="I10" i="2"/>
  <c r="E5" i="2"/>
  <c r="E4" i="2"/>
  <c r="I5" i="2"/>
  <c r="E20" i="2"/>
  <c r="E19" i="2"/>
  <c r="E15" i="2"/>
  <c r="E10" i="2"/>
  <c r="O793" i="1"/>
  <c r="M1160" i="1"/>
  <c r="O792" i="1"/>
  <c r="O878" i="1"/>
  <c r="O879" i="1" s="1"/>
  <c r="J1159" i="1"/>
  <c r="N751" i="1"/>
  <c r="K497" i="1"/>
  <c r="L794" i="1"/>
  <c r="N790" i="1"/>
  <c r="M958" i="1"/>
  <c r="N78" i="1"/>
  <c r="N176" i="1"/>
  <c r="N177" i="1" s="1"/>
  <c r="L305" i="1"/>
  <c r="L342" i="1"/>
  <c r="O554" i="1"/>
  <c r="O635" i="1" s="1"/>
  <c r="I958" i="1"/>
  <c r="K1160" i="1"/>
  <c r="L1159" i="1"/>
  <c r="L176" i="1"/>
  <c r="L786" i="1"/>
  <c r="N1061" i="1"/>
  <c r="N1095" i="1"/>
  <c r="L78" i="1"/>
  <c r="J176" i="1"/>
  <c r="I497" i="1"/>
  <c r="J496" i="1"/>
  <c r="J497" i="1" s="1"/>
  <c r="O680" i="1"/>
  <c r="J786" i="1"/>
  <c r="J787" i="1" s="1"/>
  <c r="O753" i="1"/>
  <c r="I874" i="1"/>
  <c r="J873" i="1"/>
  <c r="J874" i="1" s="1"/>
  <c r="J957" i="1"/>
  <c r="J958" i="1" s="1"/>
  <c r="K958" i="1"/>
  <c r="J78" i="1"/>
  <c r="I177" i="1"/>
  <c r="O81" i="1"/>
  <c r="O306" i="1"/>
  <c r="O342" i="1" s="1"/>
  <c r="L635" i="1"/>
  <c r="O885" i="1"/>
  <c r="L957" i="1"/>
  <c r="L958" i="1" s="1"/>
  <c r="N967" i="1"/>
  <c r="N1159" i="1"/>
  <c r="N305" i="1"/>
  <c r="O214" i="1"/>
  <c r="O305" i="1" s="1"/>
  <c r="N496" i="1"/>
  <c r="O799" i="1"/>
  <c r="O967" i="1"/>
  <c r="O1035" i="1"/>
  <c r="O1061" i="1"/>
  <c r="O1062" i="1"/>
  <c r="O1159" i="1" s="1"/>
  <c r="E7" i="2"/>
  <c r="O56" i="1"/>
  <c r="M176" i="1"/>
  <c r="M177" i="1" s="1"/>
  <c r="O161" i="1"/>
  <c r="O176" i="1" s="1"/>
  <c r="L56" i="1"/>
  <c r="L177" i="1" s="1"/>
  <c r="O62" i="1"/>
  <c r="O78" i="1" s="1"/>
  <c r="L496" i="1"/>
  <c r="O376" i="1"/>
  <c r="O496" i="1" s="1"/>
  <c r="L680" i="1"/>
  <c r="N693" i="1"/>
  <c r="N788" i="1"/>
  <c r="N789" i="1"/>
  <c r="M874" i="1"/>
  <c r="N873" i="1"/>
  <c r="O788" i="1"/>
  <c r="O794" i="1" s="1"/>
  <c r="N791" i="1"/>
  <c r="O814" i="1"/>
  <c r="L873" i="1"/>
  <c r="L874" i="1" s="1"/>
  <c r="O815" i="1"/>
  <c r="O873" i="1" s="1"/>
  <c r="O682" i="1"/>
  <c r="O886" i="1"/>
  <c r="O957" i="1" s="1"/>
  <c r="N894" i="1"/>
  <c r="N957" i="1" s="1"/>
  <c r="N958" i="1" s="1"/>
  <c r="J967" i="1"/>
  <c r="L967" i="1"/>
  <c r="L1035" i="1"/>
  <c r="D21" i="2"/>
  <c r="G21" i="2" s="1"/>
  <c r="C21" i="2"/>
  <c r="M21" i="2" s="1"/>
  <c r="H33" i="2"/>
  <c r="C31" i="2"/>
  <c r="F31" i="2" s="1"/>
  <c r="I20" i="2"/>
  <c r="D16" i="2"/>
  <c r="C16" i="2"/>
  <c r="C11" i="2"/>
  <c r="M11" i="2" s="1"/>
  <c r="D11" i="2"/>
  <c r="O11" i="2" s="1"/>
  <c r="D31" i="2"/>
  <c r="E29" i="2"/>
  <c r="I30" i="2"/>
  <c r="D26" i="2"/>
  <c r="O26" i="2" s="1"/>
  <c r="C26" i="2"/>
  <c r="F26" i="2" s="1"/>
  <c r="C6" i="2"/>
  <c r="F6" i="2" s="1"/>
  <c r="D6" i="2"/>
  <c r="E27" i="2" l="1"/>
  <c r="C25" i="2"/>
  <c r="C19" i="2"/>
  <c r="M19" i="2" s="1"/>
  <c r="E3" i="2"/>
  <c r="E32" i="2"/>
  <c r="C32" i="2"/>
  <c r="D30" i="2"/>
  <c r="D29" i="2"/>
  <c r="G29" i="2" s="1"/>
  <c r="D32" i="2"/>
  <c r="C30" i="2"/>
  <c r="C29" i="2"/>
  <c r="D25" i="2"/>
  <c r="D27" i="2"/>
  <c r="C27" i="2"/>
  <c r="D20" i="2"/>
  <c r="G20" i="2" s="1"/>
  <c r="C20" i="2"/>
  <c r="F20" i="2" s="1"/>
  <c r="C22" i="2"/>
  <c r="E22" i="2"/>
  <c r="E18" i="2" s="1"/>
  <c r="C14" i="2"/>
  <c r="E17" i="2"/>
  <c r="D15" i="2"/>
  <c r="O15" i="2" s="1"/>
  <c r="C15" i="2"/>
  <c r="F15" i="2" s="1"/>
  <c r="D10" i="2"/>
  <c r="O10" i="2" s="1"/>
  <c r="C10" i="2"/>
  <c r="F10" i="2" s="1"/>
  <c r="C9" i="2"/>
  <c r="E12" i="2"/>
  <c r="C5" i="2"/>
  <c r="M5" i="2" s="1"/>
  <c r="D4" i="2"/>
  <c r="G4" i="2" s="1"/>
  <c r="C4" i="2"/>
  <c r="F4" i="2" s="1"/>
  <c r="D5" i="2"/>
  <c r="G5" i="2" s="1"/>
  <c r="E30" i="2"/>
  <c r="E25" i="2"/>
  <c r="E14" i="2"/>
  <c r="E9" i="2"/>
  <c r="J1160" i="1"/>
  <c r="L787" i="1"/>
  <c r="N497" i="1"/>
  <c r="J177" i="1"/>
  <c r="C17" i="2"/>
  <c r="M31" i="2"/>
  <c r="N31" i="2" s="1"/>
  <c r="N794" i="1"/>
  <c r="N874" i="1" s="1"/>
  <c r="N786" i="1"/>
  <c r="N787" i="1" s="1"/>
  <c r="O786" i="1"/>
  <c r="O787" i="1" s="1"/>
  <c r="O958" i="1"/>
  <c r="L497" i="1"/>
  <c r="O1160" i="1"/>
  <c r="M1161" i="1"/>
  <c r="N1160" i="1"/>
  <c r="O177" i="1"/>
  <c r="O497" i="1"/>
  <c r="I31" i="2"/>
  <c r="I28" i="2" s="1"/>
  <c r="I26" i="2"/>
  <c r="I23" i="2" s="1"/>
  <c r="I21" i="2"/>
  <c r="I18" i="2" s="1"/>
  <c r="O21" i="2"/>
  <c r="P21" i="2" s="1"/>
  <c r="F21" i="2"/>
  <c r="N21" i="2" s="1"/>
  <c r="F11" i="2"/>
  <c r="N11" i="2" s="1"/>
  <c r="I11" i="2"/>
  <c r="I8" i="2" s="1"/>
  <c r="M6" i="2"/>
  <c r="N6" i="2" s="1"/>
  <c r="O874" i="1"/>
  <c r="L1160" i="1"/>
  <c r="I16" i="2"/>
  <c r="I13" i="2" s="1"/>
  <c r="G11" i="2"/>
  <c r="P11" i="2" s="1"/>
  <c r="M26" i="2"/>
  <c r="N26" i="2" s="1"/>
  <c r="O31" i="2"/>
  <c r="G31" i="2"/>
  <c r="G26" i="2"/>
  <c r="P26" i="2" s="1"/>
  <c r="O6" i="2"/>
  <c r="G6" i="2"/>
  <c r="M10" i="2" l="1"/>
  <c r="N10" i="2" s="1"/>
  <c r="M15" i="2"/>
  <c r="N15" i="2" s="1"/>
  <c r="C28" i="2"/>
  <c r="M27" i="2"/>
  <c r="E23" i="2"/>
  <c r="G10" i="2"/>
  <c r="P10" i="2" s="1"/>
  <c r="O4" i="2"/>
  <c r="P4" i="2" s="1"/>
  <c r="M32" i="2"/>
  <c r="M30" i="2"/>
  <c r="F27" i="2"/>
  <c r="G27" i="2"/>
  <c r="F32" i="2"/>
  <c r="O5" i="2"/>
  <c r="P5" i="2" s="1"/>
  <c r="G32" i="2"/>
  <c r="O32" i="2"/>
  <c r="G15" i="2"/>
  <c r="P15" i="2" s="1"/>
  <c r="F9" i="2"/>
  <c r="D28" i="2"/>
  <c r="O29" i="2"/>
  <c r="P29" i="2" s="1"/>
  <c r="M29" i="2"/>
  <c r="F29" i="2"/>
  <c r="O27" i="2"/>
  <c r="C23" i="2"/>
  <c r="D23" i="2"/>
  <c r="M20" i="2"/>
  <c r="N20" i="2" s="1"/>
  <c r="O20" i="2"/>
  <c r="P20" i="2" s="1"/>
  <c r="M22" i="2"/>
  <c r="F19" i="2"/>
  <c r="N19" i="2" s="1"/>
  <c r="F22" i="2"/>
  <c r="C18" i="2"/>
  <c r="M18" i="2" s="1"/>
  <c r="M14" i="2"/>
  <c r="M4" i="2"/>
  <c r="N4" i="2" s="1"/>
  <c r="F5" i="2"/>
  <c r="N5" i="2" s="1"/>
  <c r="D22" i="2"/>
  <c r="G22" i="2" s="1"/>
  <c r="D19" i="2"/>
  <c r="O19" i="2" s="1"/>
  <c r="D14" i="2"/>
  <c r="O14" i="2" s="1"/>
  <c r="D9" i="2"/>
  <c r="O9" i="2" s="1"/>
  <c r="K7" i="2"/>
  <c r="K3" i="2" s="1"/>
  <c r="C7" i="2"/>
  <c r="C3" i="2" s="1"/>
  <c r="M3" i="2" s="1"/>
  <c r="K17" i="2"/>
  <c r="K14" i="2"/>
  <c r="K12" i="2"/>
  <c r="K9" i="2"/>
  <c r="J22" i="2"/>
  <c r="J18" i="2" s="1"/>
  <c r="J32" i="2"/>
  <c r="J28" i="2" s="1"/>
  <c r="J12" i="2"/>
  <c r="J8" i="2" s="1"/>
  <c r="J7" i="2"/>
  <c r="J3" i="2" s="1"/>
  <c r="K27" i="2"/>
  <c r="K23" i="2" s="1"/>
  <c r="K22" i="2"/>
  <c r="K18" i="2" s="1"/>
  <c r="M25" i="2"/>
  <c r="F25" i="2"/>
  <c r="G30" i="2"/>
  <c r="O25" i="2"/>
  <c r="G25" i="2"/>
  <c r="E28" i="2"/>
  <c r="F30" i="2"/>
  <c r="O30" i="2"/>
  <c r="F14" i="2"/>
  <c r="C12" i="2"/>
  <c r="C8" i="2" s="1"/>
  <c r="E8" i="2"/>
  <c r="M9" i="2"/>
  <c r="L1161" i="1"/>
  <c r="N1161" i="1"/>
  <c r="C13" i="2"/>
  <c r="M17" i="2"/>
  <c r="F17" i="2"/>
  <c r="O1161" i="1"/>
  <c r="I6" i="2"/>
  <c r="I3" i="2" s="1"/>
  <c r="I33" i="2" s="1"/>
  <c r="P6" i="2"/>
  <c r="P31" i="2"/>
  <c r="D17" i="2"/>
  <c r="E16" i="2"/>
  <c r="D12" i="2"/>
  <c r="D7" i="2"/>
  <c r="N32" i="2" l="1"/>
  <c r="G9" i="2"/>
  <c r="M28" i="2"/>
  <c r="O23" i="2"/>
  <c r="P27" i="2"/>
  <c r="M23" i="2"/>
  <c r="N27" i="2"/>
  <c r="G28" i="2"/>
  <c r="P32" i="2"/>
  <c r="G23" i="2"/>
  <c r="F23" i="2"/>
  <c r="F28" i="2"/>
  <c r="D18" i="2"/>
  <c r="O18" i="2" s="1"/>
  <c r="M7" i="2"/>
  <c r="G14" i="2"/>
  <c r="P14" i="2" s="1"/>
  <c r="K13" i="2"/>
  <c r="N9" i="2"/>
  <c r="F7" i="2"/>
  <c r="F3" i="2" s="1"/>
  <c r="N3" i="2" s="1"/>
  <c r="N29" i="2"/>
  <c r="N14" i="2"/>
  <c r="F18" i="2"/>
  <c r="N18" i="2" s="1"/>
  <c r="N22" i="2"/>
  <c r="O22" i="2"/>
  <c r="P22" i="2" s="1"/>
  <c r="G19" i="2"/>
  <c r="P19" i="2" s="1"/>
  <c r="K8" i="2"/>
  <c r="J33" i="2"/>
  <c r="N30" i="2"/>
  <c r="K32" i="2"/>
  <c r="K28" i="2" s="1"/>
  <c r="N25" i="2"/>
  <c r="P30" i="2"/>
  <c r="P25" i="2"/>
  <c r="F12" i="2"/>
  <c r="F8" i="2" s="1"/>
  <c r="O28" i="2"/>
  <c r="C33" i="2"/>
  <c r="M8" i="2"/>
  <c r="M12" i="2"/>
  <c r="N17" i="2"/>
  <c r="P9" i="2"/>
  <c r="M16" i="2"/>
  <c r="O16" i="2"/>
  <c r="G16" i="2"/>
  <c r="F16" i="2"/>
  <c r="E13" i="2"/>
  <c r="G17" i="2"/>
  <c r="O17" i="2"/>
  <c r="D13" i="2"/>
  <c r="O12" i="2"/>
  <c r="G12" i="2"/>
  <c r="D8" i="2"/>
  <c r="O8" i="2" s="1"/>
  <c r="G7" i="2"/>
  <c r="O7" i="2"/>
  <c r="D3" i="2"/>
  <c r="P23" i="2" l="1"/>
  <c r="N23" i="2"/>
  <c r="N28" i="2"/>
  <c r="P28" i="2"/>
  <c r="N7" i="2"/>
  <c r="K33" i="2"/>
  <c r="G18" i="2"/>
  <c r="P18" i="2" s="1"/>
  <c r="N8" i="2"/>
  <c r="N12" i="2"/>
  <c r="O13" i="2"/>
  <c r="N16" i="2"/>
  <c r="F13" i="2"/>
  <c r="F33" i="2" s="1"/>
  <c r="P17" i="2"/>
  <c r="P16" i="2"/>
  <c r="G13" i="2"/>
  <c r="E33" i="2"/>
  <c r="E35" i="2" s="1"/>
  <c r="M13" i="2"/>
  <c r="P12" i="2"/>
  <c r="G8" i="2"/>
  <c r="P8" i="2" s="1"/>
  <c r="D33" i="2"/>
  <c r="D35" i="2" s="1"/>
  <c r="O3" i="2"/>
  <c r="P7" i="2"/>
  <c r="G3" i="2"/>
  <c r="P13" i="2" l="1"/>
  <c r="M33" i="2"/>
  <c r="N33" i="2" s="1"/>
  <c r="N13" i="2"/>
  <c r="P3" i="2"/>
  <c r="G33" i="2"/>
  <c r="G35" i="2" s="1"/>
  <c r="E37" i="2" s="1"/>
  <c r="O33" i="2"/>
  <c r="P33" i="2" l="1"/>
</calcChain>
</file>

<file path=xl/comments1.xml><?xml version="1.0" encoding="utf-8"?>
<comments xmlns="http://schemas.openxmlformats.org/spreadsheetml/2006/main">
  <authors>
    <author>User</author>
  </authors>
  <commentList>
    <comment ref="G912" authorId="0">
      <text>
        <r>
          <rPr>
            <sz val="9"/>
            <color indexed="81"/>
            <rFont val="Tahoma"/>
            <family val="2"/>
            <charset val="204"/>
          </rPr>
          <t>User:</t>
        </r>
        <r>
          <rPr>
            <b/>
            <sz val="9"/>
            <color indexed="81"/>
            <rFont val="Tahoma"/>
            <family val="2"/>
            <charset val="204"/>
          </rPr>
          <t xml:space="preserve">
В составе датчика ДВ-ЕБС БЛ2.320.077
</t>
        </r>
      </text>
    </comment>
  </commentList>
</comments>
</file>

<file path=xl/sharedStrings.xml><?xml version="1.0" encoding="utf-8"?>
<sst xmlns="http://schemas.openxmlformats.org/spreadsheetml/2006/main" count="10280" uniqueCount="3083">
  <si>
    <t>ИГК</t>
  </si>
  <si>
    <t>Контрагент</t>
  </si>
  <si>
    <t>ЦФО</t>
  </si>
  <si>
    <t>Договор</t>
  </si>
  <si>
    <t>Состояние</t>
  </si>
  <si>
    <t>Этап графика</t>
  </si>
  <si>
    <t>Предмет</t>
  </si>
  <si>
    <t>Заказ</t>
  </si>
  <si>
    <t>СУММА договора</t>
  </si>
  <si>
    <t>ПЛАН</t>
  </si>
  <si>
    <t>%</t>
  </si>
  <si>
    <t>ФАКТ</t>
  </si>
  <si>
    <t>2226187415091412241009022</t>
  </si>
  <si>
    <t>10-ГПЗ ОАО</t>
  </si>
  <si>
    <t>427</t>
  </si>
  <si>
    <t>Подшипники по ЕТУ-500/180м ОАО "ГПЗ-10" от 28.05.2024</t>
  </si>
  <si>
    <t>№1. Аванс (до базовой даты).(100%,24г.180ед.)</t>
  </si>
  <si>
    <t>Аванс</t>
  </si>
  <si>
    <t>Поставка подшипниковой продукции</t>
  </si>
  <si>
    <t>9022-25-10+81+89</t>
  </si>
  <si>
    <t>2224187315101412241211123</t>
  </si>
  <si>
    <t>Подшипники по ЕТУ 500 ОАО "10ГПЗ" 30м от 08.07.2024</t>
  </si>
  <si>
    <t>№1. Аванс (до базовой даты).(100%,25г.30ед.)</t>
  </si>
  <si>
    <t>1123-25-10+20</t>
  </si>
  <si>
    <t>2225187325911422241000261</t>
  </si>
  <si>
    <t>10-ГПЗ ООО</t>
  </si>
  <si>
    <t>Исполнен</t>
  </si>
  <si>
    <t>№1. Аванс (до базовой даты).</t>
  </si>
  <si>
    <t>Аванс (до базовой даты) - Этап №1</t>
  </si>
  <si>
    <t>Исполняется</t>
  </si>
  <si>
    <t>2325187912351422241015207</t>
  </si>
  <si>
    <t>№1. Аванс (до базовой даты).(100%,24г.)</t>
  </si>
  <si>
    <t>Подшипники по ЕТУ 500 208м ООО"10-ГПЗ" от 27.06.2024</t>
  </si>
  <si>
    <t>№1. Аванс (до базовой даты).(100%,25г.208м)</t>
  </si>
  <si>
    <t>0261-25-153</t>
  </si>
  <si>
    <t>2426187915321412241236382</t>
  </si>
  <si>
    <t>КАЗ/427/Подш.по ЕТУ 500 ООО "ГПЗ-10" от 06.05.2024</t>
  </si>
  <si>
    <t>№1. Аванс (до базовой даты).(100%,24г.31м.)</t>
  </si>
  <si>
    <t>6382-25-31</t>
  </si>
  <si>
    <t>426</t>
  </si>
  <si>
    <t>2325187912341422241000262</t>
  </si>
  <si>
    <t>АВАНГАРД АО</t>
  </si>
  <si>
    <t>429</t>
  </si>
  <si>
    <t>2225187325911422241000261/429/новый/подкладка от 01.01.2024</t>
  </si>
  <si>
    <t>поставка подкладок</t>
  </si>
  <si>
    <t>Аванс - Этап №2 (80%,25г,153м)</t>
  </si>
  <si>
    <t>2224187315101412241211123/429/25год/ВР от 01.01.2024</t>
  </si>
  <si>
    <t>Аванс - Этап №1 (80%,25г,30м)</t>
  </si>
  <si>
    <t>Поставка Плит ВР-27506-03 или В-172.05.084-03</t>
  </si>
  <si>
    <t>424</t>
  </si>
  <si>
    <t>АЙТИ АЛЬЯНС ООО</t>
  </si>
  <si>
    <t>поставка комплектующих для компьютера</t>
  </si>
  <si>
    <t>2226187415091412241009022/2362к/426 от 28.06.2024</t>
  </si>
  <si>
    <t>№1. Аванс (до базовой даты).(100%,24г,180м)</t>
  </si>
  <si>
    <t>АК ТУЛАМАШЗАВОД АО</t>
  </si>
  <si>
    <t>2224187315101412241211123/401-2/190-22/4449к/429 от 12.08.2022</t>
  </si>
  <si>
    <t>Поставка ДГУ5</t>
  </si>
  <si>
    <t>Аванс - Этап №4 (40%,25г,30м)</t>
  </si>
  <si>
    <t>2224187315101412241211123/401-2/173-22/5831к/429 от 18.11.2022</t>
  </si>
  <si>
    <t>поставка ЗИП к изделию 2а42</t>
  </si>
  <si>
    <t>Поставка смазки Литол-24</t>
  </si>
  <si>
    <t>№2. Аванс (до базовой даты).</t>
  </si>
  <si>
    <t>Поставка смазки графитной</t>
  </si>
  <si>
    <t>поставка бязи отбельной</t>
  </si>
  <si>
    <t>поставка миткаля сурового технического</t>
  </si>
  <si>
    <t>поставка полотна холстопрошивного хлопчатобумажного, нетканого</t>
  </si>
  <si>
    <t>поставка колец</t>
  </si>
  <si>
    <t>№1. Аванс (до базовой даты).(80%,24г)</t>
  </si>
  <si>
    <t>поставка грунтовки</t>
  </si>
  <si>
    <t>АМР АО</t>
  </si>
  <si>
    <t>поставка проката из алюминия и сплавов</t>
  </si>
  <si>
    <t>2226187415091412241009022/01-5516AMR/1608к/424 от 17.04.2024</t>
  </si>
  <si>
    <t>№1. Аванс (100%,24г).</t>
  </si>
  <si>
    <t>поставка металлопроката (пруток)</t>
  </si>
  <si>
    <t>АО ЛЗОС АО "ЛЫТКАРИНСКИЙ ЗАВОД ОПТИЧЕСКОГО СТЕКЛА"</t>
  </si>
  <si>
    <t>поставка специзделий</t>
  </si>
  <si>
    <t>2225187325911422241000261/03855-34/2022/6133к/429 от 08.11.2022</t>
  </si>
  <si>
    <t>Аванс - Этап №3 (до80%,25г,55м)</t>
  </si>
  <si>
    <t>0261-25-55</t>
  </si>
  <si>
    <t>2225187325911422241000261/03855-34/2022/6133к/429 от 08.11.2022 (доп.закупка 2225187325911422241000261/03855-34/2022/6133к/429 от 01.01.2024)</t>
  </si>
  <si>
    <t>Аванс - Этап №2 (50%,25г,15м)</t>
  </si>
  <si>
    <t>Аванс - Этап №2 (80%,25г,20м)</t>
  </si>
  <si>
    <t>Поставка оптических приборов</t>
  </si>
  <si>
    <t>Аванс - Этап №1 (80%,24г,31м)</t>
  </si>
  <si>
    <t>2426187915321412241236382/3033к/429/34/2024 от 12.08.2024</t>
  </si>
  <si>
    <t>Аванс - Этап №1 (до80%,25г,31м)</t>
  </si>
  <si>
    <t>Поставка оптических изделий</t>
  </si>
  <si>
    <t>2226187415091412241009022/3068к/429-34/2024 от 13.08.2024</t>
  </si>
  <si>
    <t>Аванс - Этап №1 (до80%,25г,180м)</t>
  </si>
  <si>
    <t>2224187315101412241211123/429/25год/ТВН от 01.01.2024</t>
  </si>
  <si>
    <t>Поставка ТВН-5</t>
  </si>
  <si>
    <t>АО НКБ ВС</t>
  </si>
  <si>
    <t>2226187415091412241009022/4618к/429 от 06.10.2022</t>
  </si>
  <si>
    <t>Поставка блоков</t>
  </si>
  <si>
    <t>Аванс - Этап №4 (80%,25г,180м)</t>
  </si>
  <si>
    <t>КАЗ/429/НКШР от 01.01.2024</t>
  </si>
  <si>
    <t>Аванс - Этап №1 (80%,25г,31м)</t>
  </si>
  <si>
    <t>Поставка комплекта монтажных частей НКШР</t>
  </si>
  <si>
    <t>АРМОКОМ, АО ЦВМ АРМИРОВАННЫЕ КОМПОЗИТЫ АО ЦВМ</t>
  </si>
  <si>
    <t>Поставка экранов</t>
  </si>
  <si>
    <t>2224187315101412241211123/429/25год/экран/ от 01.01.2024</t>
  </si>
  <si>
    <t>Поставка экрана 199.07.009сб-1СБ</t>
  </si>
  <si>
    <t>АСК ООО</t>
  </si>
  <si>
    <t>поставка цветных металлов</t>
  </si>
  <si>
    <t>поставка ферромолибдена</t>
  </si>
  <si>
    <t>ГОЗ-АСК-УВЗ/2024/1478к/424 от 02.04.2024 (в ред. ДС 1) (ОС 2226187415091412241009022/ГОЗ-АСК-УВЗ/2024 от 15.07.2024)</t>
  </si>
  <si>
    <t>ГОЗ-АСК-УВЗ/2024/1478к/424 от 02.04.2024 (в ред. ДС 1) (ОС 2225187325911422241000261/ГОЗ-АСК-УВЗ/2024 от 15.07.2024)</t>
  </si>
  <si>
    <t>0261-25-197</t>
  </si>
  <si>
    <t>АСК-УВЗ/2022-2025 от 23.08.2022 (2225187325911422241000261/13/2669к/424 от 16.05.2024)</t>
  </si>
  <si>
    <t>поставка алюминия в первичных чушках</t>
  </si>
  <si>
    <t>0261-25-197+55</t>
  </si>
  <si>
    <t>АСК-УВЗ/2022-2025 от 23.08.2022 (2226187415091412241009022/14/2670к/424 от 16.05.2024)</t>
  </si>
  <si>
    <t>АСТРА ЭЛЕКТРО ООО</t>
  </si>
  <si>
    <t>2224187315101412241211123/диоды от 15.07.2024</t>
  </si>
  <si>
    <t>№1. Аванс (до базовой даты).(100%,24г,30м)</t>
  </si>
  <si>
    <t>поставка диодов</t>
  </si>
  <si>
    <t>АШАСВЕТОТЕХНИКА АО</t>
  </si>
  <si>
    <t>Поставка электроизделий</t>
  </si>
  <si>
    <t>2226187415091412241009022/210/5707к/429 от 08.09.2022</t>
  </si>
  <si>
    <t>Аванс - Этап №2 (100%,25г,180м)</t>
  </si>
  <si>
    <t>2225187325911422241000261/257/6356к/429 от 11.11.2022</t>
  </si>
  <si>
    <t>поставка светотехники</t>
  </si>
  <si>
    <t>Аванс - Этап №3 (100%,25г,55м)</t>
  </si>
  <si>
    <t>Аванс - Этап №6 (100%,25г,197м)</t>
  </si>
  <si>
    <t>Аванс  - Этап №1 (100%,24/25г,31/20м)</t>
  </si>
  <si>
    <t>2224187315101412241211123/75/2364к/429 от 15.05.2024</t>
  </si>
  <si>
    <t>Аванс - Этап №1 (100%,25г,30м)</t>
  </si>
  <si>
    <t>Поставка светоизделий</t>
  </si>
  <si>
    <t>КАЗ/429/светильники от 01.01.2024</t>
  </si>
  <si>
    <t>поставка проката листового</t>
  </si>
  <si>
    <t>АЭМ-ТЕХНОЛОГИИ АО</t>
  </si>
  <si>
    <t>2426187915321412241236382/СФ/12/2024/265/2725к/424 от 01.07.2024 (в ред. ДС 1)</t>
  </si>
  <si>
    <t>Этап №1 - Аванс (80%).</t>
  </si>
  <si>
    <t>поставка спец. листов 22Ш 24Ш</t>
  </si>
  <si>
    <t>2226187415091412241009022/СФ/12/2024/266/2727к/424 от 01.07.2024</t>
  </si>
  <si>
    <t>2226187415091412241009022/СФ/12/2024/267/2729к/424 от 01.07.2024</t>
  </si>
  <si>
    <t>БАЗ АО</t>
  </si>
  <si>
    <t>2225187325911422241000261/181/4573к/429 от 11.08.2022</t>
  </si>
  <si>
    <t>Поставка ручного насоса  РНМ-1</t>
  </si>
  <si>
    <t>Аванс - Этап №3 (80%,25г,55м)</t>
  </si>
  <si>
    <t>Аванс - Этап №6 (до80%,25г,153м)</t>
  </si>
  <si>
    <t>Поставка насосов</t>
  </si>
  <si>
    <t>2226187415091412241009022/78/3043к/429 от 27.03.2024</t>
  </si>
  <si>
    <t>Поставка насоса РНМ-1</t>
  </si>
  <si>
    <t>КАЗ/429/РНМ насос от 01.01.2024</t>
  </si>
  <si>
    <t>Поставка смазки</t>
  </si>
  <si>
    <t>БАРК ООО</t>
  </si>
  <si>
    <t>поставка кольца сальника кардана</t>
  </si>
  <si>
    <t>2226187415091412241009022/2760к/426 от 24.07.2024</t>
  </si>
  <si>
    <t>№1. Аванс (до базовой даты).(80%,24г,180м)</t>
  </si>
  <si>
    <t>2224187315101412241211123/кольцо сальника кардана от 05.07.2024</t>
  </si>
  <si>
    <t>БИ ПИТРОН ООО</t>
  </si>
  <si>
    <t>Поставка жгутов</t>
  </si>
  <si>
    <t>2226187415091412241009022/БП 156/22/6558к/429 от 01.12.2022 (доп.закупка 2226187415091412241009022/БП 156/22/6558к/429/25год от 01.01.2024)</t>
  </si>
  <si>
    <t>Аванс - Этап №1 (80%,25г,180м)</t>
  </si>
  <si>
    <t>Аванс (до базовой даты) - Этап №2</t>
  </si>
  <si>
    <t>БП-135/23/3881к/429 от 18.08.2023</t>
  </si>
  <si>
    <t>Поставка жгута СПТ БПМТ.685621.901</t>
  </si>
  <si>
    <t>9022-25-81</t>
  </si>
  <si>
    <t>КАЗ/429/жгуты СПТ от 01.01.2024</t>
  </si>
  <si>
    <t>поставка жгутов</t>
  </si>
  <si>
    <t>БЛОКФОРМ ЗАО</t>
  </si>
  <si>
    <t>поставка пенополиуретана (поролона)</t>
  </si>
  <si>
    <t>2226187415091412241009022/пенополиуретан от 03.06.2024</t>
  </si>
  <si>
    <t>2225187325911422241000261/пенополиуретан от 24.06.2024</t>
  </si>
  <si>
    <t>№1. Аванс (до базовой даты).(100%,25г,252м)</t>
  </si>
  <si>
    <t>0261-25-252</t>
  </si>
  <si>
    <t>№1. Аванс (до базовой даты).(100%,24г,252м)</t>
  </si>
  <si>
    <t>БМК АО</t>
  </si>
  <si>
    <t>поставка проволоки</t>
  </si>
  <si>
    <t>Поставка канатов</t>
  </si>
  <si>
    <t>0261/424/18 от 23.06.2024</t>
  </si>
  <si>
    <t>поставка канатов</t>
  </si>
  <si>
    <t>поставка деталей войлочных</t>
  </si>
  <si>
    <t>БПЗ АО</t>
  </si>
  <si>
    <t>Поставка пиропатронов ППЛ 9-А-433</t>
  </si>
  <si>
    <t>Поставка пиропатрона ППЛ-9-А-433</t>
  </si>
  <si>
    <t>2226187415091412241009022/2138к/429 от 11.06.2024</t>
  </si>
  <si>
    <t>2224187315101412241211123/2541к/429 от 10.07.2024</t>
  </si>
  <si>
    <t>Аванс - Этап №1 (до80%,25г,30м)</t>
  </si>
  <si>
    <t>КАЗ/429/пиропатрон от 01.01.2024</t>
  </si>
  <si>
    <t>поставка парусины полульняной</t>
  </si>
  <si>
    <t>№1. Аванс (80%).</t>
  </si>
  <si>
    <t>ВНИИР-ПРОГРЕСС АО</t>
  </si>
  <si>
    <t>Поставка коробки соединительной КС2-01</t>
  </si>
  <si>
    <t>Поставка коробок соединительных КС1-01, КС2-01</t>
  </si>
  <si>
    <t>Поставка коробки соединительной КС1-01</t>
  </si>
  <si>
    <t>2325187912341422241000262/751/2/Б-2023/4922к/429 в ред. ДС1 от 20.10.2023</t>
  </si>
  <si>
    <t>Аванс - Этап №1 (100%,24/25г,31/20м)</t>
  </si>
  <si>
    <t>0262-24-25-31+20</t>
  </si>
  <si>
    <t>2226187415091412241009022/237/2/Б-2024/1865к/429 от 09.04.2024</t>
  </si>
  <si>
    <t>Аванс - Этап №1 (100%,25г,180м)</t>
  </si>
  <si>
    <t>285/2/Б-2024/2361к/429 от 26.04.2024</t>
  </si>
  <si>
    <t>Аванс - Этап №1 (100%,25г,197м)</t>
  </si>
  <si>
    <t>КАЗ/429/коробки КС-1,КС-2 от 01.01.2024</t>
  </si>
  <si>
    <t>2224187315101412241211123/429/25год/КС2 от 01.01.2024</t>
  </si>
  <si>
    <t>ВНИИТРАНСМАШ АО</t>
  </si>
  <si>
    <t>2225187325911422241000261/3603441/3210к/429 от 20.04.2023</t>
  </si>
  <si>
    <t>поставка приборов</t>
  </si>
  <si>
    <t>Аванс - Этап №2 (80%,25г,55м)</t>
  </si>
  <si>
    <t>2225187325911422241000261/3603441/3210к/429 от 20.04.2023 (доп.закупка 2225187325911422241000261/3603441/3210к/429 от 01.01.2024)</t>
  </si>
  <si>
    <t>2226187415091412241009022/3603841/3770к/429 от 20.04.2023</t>
  </si>
  <si>
    <t>Аванс - Этап №2 (до20%,25г,180м)</t>
  </si>
  <si>
    <t>Поставка вооружения</t>
  </si>
  <si>
    <t>КАЗ/429/прибор выверки от 01.01.2024</t>
  </si>
  <si>
    <t>Поставка Прибор выверки УПВ-125-01 55-432-Сб0-01 в футляре 55-438-Сб0</t>
  </si>
  <si>
    <t>ВОМЗ АО</t>
  </si>
  <si>
    <t>2225187325911422241000261/530.1979/2022/5194к/429 от 26.10.2022</t>
  </si>
  <si>
    <t>Поставка прицел наводчика многоканальный "Сосна-У" 7084.00.00.000-06.01 7084.00.00.000-06ТУ</t>
  </si>
  <si>
    <t>Аванс - Этап №6 (80%,25г,153м)</t>
  </si>
  <si>
    <t>Поставка осушителя с колпачком Ю-45.96.118</t>
  </si>
  <si>
    <t>2226187415091412241009022/530.2155/2022/5859к/429 от 27.10.2022</t>
  </si>
  <si>
    <t>Поставка пульта наведения ИЮМК.468312.009</t>
  </si>
  <si>
    <t>Аванс - Этап №5 (до80%,25г,180м)</t>
  </si>
  <si>
    <t>Аванс - Этап №6 (до80%,25г,180м)</t>
  </si>
  <si>
    <t>5207-25-15</t>
  </si>
  <si>
    <t>2325187912341422241000262/530.3148/2023/505к/429 от 24.11.2023</t>
  </si>
  <si>
    <t>Поставка прицела наводчика многоканального "Сосна-У" 7084.00.00.000-06.01 7084.00.00.000-06 ТУ</t>
  </si>
  <si>
    <t>Аванс- Этап №2 (80%,25г,20м)</t>
  </si>
  <si>
    <t>0262-25-20</t>
  </si>
  <si>
    <t>КАЗ/429/пульт наведения,осушитель от 01.01.2024</t>
  </si>
  <si>
    <t>поставка пульта наведения, осушителя</t>
  </si>
  <si>
    <t>2224187315101412241211123/429/25год/осушитель от 01.01.2024</t>
  </si>
  <si>
    <t>ВПК ЗАО</t>
  </si>
  <si>
    <t>КАЗ/427/Подш.по ЕТУ 500 ЗАО "ВПК" от 06.05.2024</t>
  </si>
  <si>
    <t>№1. Аванс (до базовой даты).(80%,25г.208ед.)</t>
  </si>
  <si>
    <t>0261-25-208</t>
  </si>
  <si>
    <t>Подшипники по ЕТУ-500/180м ЗАО "ВПК" от 28.05.2024</t>
  </si>
  <si>
    <t>Поставка радиаторов 188МС</t>
  </si>
  <si>
    <t>Поставка специального оборудования</t>
  </si>
  <si>
    <t>Аванс - Этап №2 (до50%,25г,15м)</t>
  </si>
  <si>
    <t>ГАЛЭКС АО</t>
  </si>
  <si>
    <t>Поставка заклепок стальных</t>
  </si>
  <si>
    <t>КАЗ/426/заклепка ЗСП от 10.05.2024</t>
  </si>
  <si>
    <t>№1. Аванс (до базовой даты).(80%,24г,31м)</t>
  </si>
  <si>
    <t>Поставка заклепок</t>
  </si>
  <si>
    <t>2226187415091412241009022/426/заклепка ЗСП-96 от 03.06.2024</t>
  </si>
  <si>
    <t>Поставка заклепки ЗСП-96</t>
  </si>
  <si>
    <t>214 от 23.07.2024</t>
  </si>
  <si>
    <t>ГАСТ ООО</t>
  </si>
  <si>
    <t>Поставка резисторов</t>
  </si>
  <si>
    <t>поставка конденсаторов</t>
  </si>
  <si>
    <t>2225187325911422241000261/конденсаторы от 24.06.2024</t>
  </si>
  <si>
    <t>№1. Аванс (до базовой даты).(80%,24г,120м)</t>
  </si>
  <si>
    <t>2224187315101412241211123/конденсатор от 15.07.2024</t>
  </si>
  <si>
    <t>2224187315101412241211123/резисторы от 15.07.2024</t>
  </si>
  <si>
    <t>426-12/4476 от 19.07.2024</t>
  </si>
  <si>
    <t>ГЗОЦМ ГАЙСКАЯ МЕДЬ ООО</t>
  </si>
  <si>
    <t>поставка бронзы (чушка) БрА10ЖЗ</t>
  </si>
  <si>
    <t>поставка бронзы БРА10жз и бронзы БРО5ц6С5</t>
  </si>
  <si>
    <t>ДКЗ АО</t>
  </si>
  <si>
    <t>Поставка проводов</t>
  </si>
  <si>
    <t>Поставка плетенки ППТА-П</t>
  </si>
  <si>
    <t>КАЗ/426/плетёнка ППТА от 10.05.2024</t>
  </si>
  <si>
    <t>Поставка кабельно-проводниковой продукции</t>
  </si>
  <si>
    <t>2226187415091412241009022/плетёнка ППТА от 03.06.2024</t>
  </si>
  <si>
    <t>2225187325911422241000261/рукав плетеный от 24.06.2024</t>
  </si>
  <si>
    <t>№1. Аванс (до базовой даты).(100%,24г,120м)</t>
  </si>
  <si>
    <t>поставка рукава</t>
  </si>
  <si>
    <t>2224187315101412241211123/провод ПБФВ от 15.07.2024</t>
  </si>
  <si>
    <t>ДМЗ ООО</t>
  </si>
  <si>
    <t>поставка изделий из проволоки и пружин</t>
  </si>
  <si>
    <t>2226187415091412241009022/2144к/424 от 10.06.2024</t>
  </si>
  <si>
    <t>2226187415091412241009022/2217к/424 от 10.06.2024</t>
  </si>
  <si>
    <t>Поставка проката из меди и сплавов</t>
  </si>
  <si>
    <t>ЕВРАЗ НТМК АО</t>
  </si>
  <si>
    <t>Поставка кольцевых заготовок</t>
  </si>
  <si>
    <t>ДГНТ6Т003019/4402к/424 от 27.09.2023 (Приложение №ПКНТ6Т092686 от 24.07.2024)</t>
  </si>
  <si>
    <t>6382/424/5 от 23.07.2024</t>
  </si>
  <si>
    <t>ЕЛЕЦГИДРОАГРЕГАТ АО</t>
  </si>
  <si>
    <t>2225187325911422241000261/245/3264к/429 от 15.06.2023</t>
  </si>
  <si>
    <t>Аванс - Этап №1 (80%,25г,55м)</t>
  </si>
  <si>
    <t>2325187912341422241000262/330/833к/429 от 31.08.2023</t>
  </si>
  <si>
    <t>Аванс - Этап №1 (80%,25г,20м)</t>
  </si>
  <si>
    <t>2226187415091412241009022/488/1456к/429 от 02.04.2024</t>
  </si>
  <si>
    <t>Аванс - Этап №1 (80%,25г,10м)</t>
  </si>
  <si>
    <t>9022-25-10</t>
  </si>
  <si>
    <t>Аванс - Этап №2 (80%,25г,81м)</t>
  </si>
  <si>
    <t>Аванс - Этап №3 (80%,25г,89м)</t>
  </si>
  <si>
    <t>9022-25-89</t>
  </si>
  <si>
    <t>2224187315101412241211123/515/2118к/429 от 13.05.2024</t>
  </si>
  <si>
    <t>КАЗ/429/насосы/мех.распред. от 01.01.2024</t>
  </si>
  <si>
    <t>Поставка насосов и механизмов распределения</t>
  </si>
  <si>
    <t>ЗАВОД №9 АО</t>
  </si>
  <si>
    <t>2225187325911422241000261/5086к/429/510-1/87 от 24.10.2022</t>
  </si>
  <si>
    <t>Поставка пушки танковой 2А46М-5-01</t>
  </si>
  <si>
    <t>Аванс - Этап №4 (50%,24г,131м)</t>
  </si>
  <si>
    <t>Аванс - Этап №2 (50%,25г,20м)</t>
  </si>
  <si>
    <t>2225187325911422241000261/510-1/168/807к/429 от 15.12.2023</t>
  </si>
  <si>
    <t>Поставка ключа РГМ</t>
  </si>
  <si>
    <t>Аванс - Этап №2 (до80%,25г,55м)</t>
  </si>
  <si>
    <t>2226187415091412241009022/510-1/162/1509к/429 от 14.02.2024</t>
  </si>
  <si>
    <t>Аванс - Этап №1 (до80%(40),25г,180м)</t>
  </si>
  <si>
    <t>Поставка пушек</t>
  </si>
  <si>
    <t>2225187325911422241000261/510-1/178/1533к/429 от 14.02.2024</t>
  </si>
  <si>
    <t>Аванс - Этап №1 (40%,25г,153м)</t>
  </si>
  <si>
    <t>Поставка пушек 2А46М-5-01 с ЗИП</t>
  </si>
  <si>
    <t>КАЗ/429/пушка от 01.01.2024</t>
  </si>
  <si>
    <t>ЗАВОД АТЛАНТ АО</t>
  </si>
  <si>
    <t>КАЗ/429/контакт гнездовой от 01.01.2024</t>
  </si>
  <si>
    <t>Поставка Контакт гнездовой СЦНК.757474.390.01.00-1</t>
  </si>
  <si>
    <t>ЗАВОД БКС ООО</t>
  </si>
  <si>
    <t>Поставка плетенки ПСП</t>
  </si>
  <si>
    <t>2225187325911422241000261/32-24/2607к/426 от 29.05.2024</t>
  </si>
  <si>
    <t>0261-25-120</t>
  </si>
  <si>
    <t>ЗАВОД КОПИР АО</t>
  </si>
  <si>
    <t>222518732591142224100261/2194/4013к/429 от 18.07.2023</t>
  </si>
  <si>
    <t>Аванс - Этап №3 (100%,25г,77м)</t>
  </si>
  <si>
    <t>0261-25-77</t>
  </si>
  <si>
    <t>Аванс - Этап №1 (100%,25г,10м)</t>
  </si>
  <si>
    <t>поставка вилок, розеток</t>
  </si>
  <si>
    <t>2226187415091412241009022/804/КОУП-005292/1316к/429 от 29.03.2024</t>
  </si>
  <si>
    <t>Поставка контакта гнездового Ф57.732.044-02</t>
  </si>
  <si>
    <t>2225187325911422241000261/3091/КОУП-006641/1740к/429 от 22.04.2024</t>
  </si>
  <si>
    <t>Поставка розетки СЦБ-4Р Ф5.3723.006</t>
  </si>
  <si>
    <t>поставка вилок</t>
  </si>
  <si>
    <t>КАЗ/429/вилки,  розетки от 01.01.2024</t>
  </si>
  <si>
    <t>2226187415091412241009022/429/25год/вилки/ от 01.01.2024</t>
  </si>
  <si>
    <t>Аванс - Этап №1 (80%,24г,180м)</t>
  </si>
  <si>
    <t>Поставка вилок,розеток</t>
  </si>
  <si>
    <t>2224187315101412241211123/429/25год/вилки от 01.01.2024</t>
  </si>
  <si>
    <t>поставка трубки</t>
  </si>
  <si>
    <t>ЗАВОД ЛУЧ АО</t>
  </si>
  <si>
    <t>Поставка шлемофонов,радиосредств и светотехнических изделий</t>
  </si>
  <si>
    <t>Аванс - Этап №3 (80%,25г,153м)</t>
  </si>
  <si>
    <t>2224187315101412241211123/1/171/24/3982к/429 в ред. ДС1 от 08.08.2023</t>
  </si>
  <si>
    <t>Поставка шлемофонов, радиосредств и светотехники</t>
  </si>
  <si>
    <t>Аванс - Этап №2 (до80%,25г,30м)</t>
  </si>
  <si>
    <t>2325187912341422241000262/1/220/24/4539к/429 от 26.09.2023</t>
  </si>
  <si>
    <t>Поставка шлемофонов, радиосредств и светотехнических изделий</t>
  </si>
  <si>
    <t>2226187415091412241009022/1/503/24/1725к/429 от 12.04.2024</t>
  </si>
  <si>
    <t>Поставка фонаря светосигнального</t>
  </si>
  <si>
    <t>2426187915321412241236382/1/91/25/2450к/429 от 23.05.2024</t>
  </si>
  <si>
    <t>ЗАВОД ПРИБОРНЫХ ПОДШИПНИКОВ ООО</t>
  </si>
  <si>
    <t>КАЗ/427/Подш.по ЕТУ 500 ООО "ЗПП" от 06.05.2024</t>
  </si>
  <si>
    <t>Подшипники по ЕТУ 500/180м ООО ТД "ЗПП" от 28.05.2024</t>
  </si>
  <si>
    <t>ЗАВОД ПРИПОЕВ ЗАО</t>
  </si>
  <si>
    <t>поставка олова</t>
  </si>
  <si>
    <t>КАЗ/426/проволока ПСР от 10.05.2024</t>
  </si>
  <si>
    <t>2226187415091412241009022/426/проволока ПСр от 03.06.2024</t>
  </si>
  <si>
    <t>Поставка проволоки ПСр</t>
  </si>
  <si>
    <t>2225187325911422241000261/проволока ПСр от 24.06.2024</t>
  </si>
  <si>
    <t>ЗАВОД ТРУД ЗАО</t>
  </si>
  <si>
    <t>Поставка хомутов, пряжек.</t>
  </si>
  <si>
    <t>Поставка хомутов червячных и пряжек</t>
  </si>
  <si>
    <t>КАЗ/429/хомуты и пряжки от 01.01.2024</t>
  </si>
  <si>
    <t>2226187415091412241009022/429/25год/хомут/пряжка от 01.01.2024</t>
  </si>
  <si>
    <t>2225187325911422241000261/429/новый/пряжки от 01.01.2024</t>
  </si>
  <si>
    <t>Поставка пряжек, хомутов червячных</t>
  </si>
  <si>
    <t>Аванс - Этап №2 (100%,25г,153м)</t>
  </si>
  <si>
    <t>2224187315101412241211123/25год/429/пряжка от 01.01.2024</t>
  </si>
  <si>
    <t>Поставка пряжек, хомутов</t>
  </si>
  <si>
    <t>ЗАВОД ФИОЛЕНТ АО</t>
  </si>
  <si>
    <t>2226187415091412241009022/250419/6630к/429 от 25.11.2022</t>
  </si>
  <si>
    <t>Поставка трансформатора вращающегося</t>
  </si>
  <si>
    <t>Аванс - Этап №3 (20%,25г,180м)</t>
  </si>
  <si>
    <t>2224187315101412241211123/250094/24/2159к/429 от 22.03.2024</t>
  </si>
  <si>
    <t>поставка трансформатора</t>
  </si>
  <si>
    <t>КАЗ/429/трансформатор от 01.01.2024</t>
  </si>
  <si>
    <t>ЗАВОД ЭЛЕКОН АО</t>
  </si>
  <si>
    <t>Поставка изделий электроустановочных</t>
  </si>
  <si>
    <t>Поставка электросоединителей</t>
  </si>
  <si>
    <t>2225187325911422241000261/574/3919к/429 от 23.06.2023</t>
  </si>
  <si>
    <t>Аванс - Этап №2 (100%,25г,55м)</t>
  </si>
  <si>
    <t>2225187325911422241000261/637/4010к/429 от 18.07.2023</t>
  </si>
  <si>
    <t>Аванс - Этап №2 (100%,25г,197м)</t>
  </si>
  <si>
    <t>2226187415091412241009022/654/4023к/429 от 21.07.2023</t>
  </si>
  <si>
    <t>Аванс - Этап №2 (до80%,25г,180м)</t>
  </si>
  <si>
    <t>2224187315101412241211123/636/4431к/429 от 18.07.2023</t>
  </si>
  <si>
    <t>Аванс - Этап №1 (до80%,24/25г,31/20м)</t>
  </si>
  <si>
    <t>2325187912341422241000262/ЭЛ24-026891/3274к/429/3817 от 20.08.2024</t>
  </si>
  <si>
    <t>Поставка розеток,вилок</t>
  </si>
  <si>
    <t>КАЗ/429/заглушка, вилки,розетки от 01.01.2024</t>
  </si>
  <si>
    <t>ЗАВОД ЭЛЕКТРОПРИБОР АО</t>
  </si>
  <si>
    <t>2226187415091412241009022/14/5/10/1800к/429 от 01.04.2024</t>
  </si>
  <si>
    <t>Поставка реле РЭН 34</t>
  </si>
  <si>
    <t>2224187315101412241211123/14/5-22/2438к/429 от 13.06.2024</t>
  </si>
  <si>
    <t>КАЗ/429/РЭН реле от 01.01.2024</t>
  </si>
  <si>
    <t>2225187325911422241000261/новый/429/реле РЭН от 01.01.2024</t>
  </si>
  <si>
    <t>Аванс - Этап №2 (100%,25г,77/55м)</t>
  </si>
  <si>
    <t>0261-25-77+55</t>
  </si>
  <si>
    <t>ЗИД ОАО</t>
  </si>
  <si>
    <t>2226187415091412241009022/4794к/429/ПС 22-277 от 17.10.2022</t>
  </si>
  <si>
    <t>Аванс - Этап №4 (20%,25г,10м)</t>
  </si>
  <si>
    <t>2225187325911422241000261/ПС 22-233/5245к/429 от 26.08.2022</t>
  </si>
  <si>
    <t>Аванс - Этап №3 (до80%,25г,55/153м)</t>
  </si>
  <si>
    <t>0261-25-153+55</t>
  </si>
  <si>
    <t>2225187325911422241000261/ПС 22-233/5245к/429 от 26.08.2022 (доп.закупка 2225187325911422241000261/ПС 22-233/5245к/429 от 01.01.2024)</t>
  </si>
  <si>
    <t>поставка пулеметов</t>
  </si>
  <si>
    <t>2224187315101412241211123/4452к/429/ПС 23-151 от 19.10.2023</t>
  </si>
  <si>
    <t>2224187315101412241211123/ПС 23-17/5523к/429 в ред. ДС1 от 25.01.2023</t>
  </si>
  <si>
    <t>2325187912341422241000262/ПС 23-217/21к/429 от 29.09.2023</t>
  </si>
  <si>
    <t>2224187315101412241211123/ПС23-140/53к/429 в ред. ДС1 от 28.06.2023</t>
  </si>
  <si>
    <t>Поставка ракет управляемых</t>
  </si>
  <si>
    <t>КАЗ/429/пулемет от 01.01.2024</t>
  </si>
  <si>
    <t>ЗОМЗ АО</t>
  </si>
  <si>
    <t>Поставка трубки холодной пристрелки ТХП-1-30-515</t>
  </si>
  <si>
    <t>2225187325911422241000261/31/2023/13/5250к/429 от 22.08.2022</t>
  </si>
  <si>
    <t>Поставка трубки холодной пристрелки ТХП-12-150</t>
  </si>
  <si>
    <t>2225187325911422241000261/31/2023/13/5250к/429 от 22.08.2022 (доп.закупка 2225187325911422241000261/31/2023/13/5250к/429 от 01.01.2024)</t>
  </si>
  <si>
    <t>Поставка датчика числа оборотов ИС-445 (ЗАК)</t>
  </si>
  <si>
    <t>2226187415091412241009022/72/2023/13/6261к/429 от 01.12.2022 (доп.закупка 2226187415091412241009022/72/2023/13/6261к/429/25год от 01.01.2024)</t>
  </si>
  <si>
    <t>2325187912341422241000262/185/2024/13/1908к/429 от 10.04.2024</t>
  </si>
  <si>
    <t>Аванс - Этап №2 (100%,25г,20м)</t>
  </si>
  <si>
    <t>КАЗ/429/Датчик числа оборотов от 01.01.2024</t>
  </si>
  <si>
    <t>2224187315101412241211123/429/25год/ТХП от 01.01.2024</t>
  </si>
  <si>
    <t>ЗПЗР ПАО</t>
  </si>
  <si>
    <t>2225187325911422241000261/1478/2024/2342к/429 от 27.05.2024</t>
  </si>
  <si>
    <t>Поставка предохранителя ПЦ</t>
  </si>
  <si>
    <t>ЗПП ООО</t>
  </si>
  <si>
    <t>ДР/28-П/25/1921к/427 от 20.03.2024 (2325187912341422241000262/3652/1 от 20.03.2024)</t>
  </si>
  <si>
    <t>№1. Аванс (до базовой даты).(100%,25г.)</t>
  </si>
  <si>
    <t>ДР/28-П/25/1921к/427 от 20.03.2024 (2225187325911422241000261/3652/2 от 20.03.2024)</t>
  </si>
  <si>
    <t>Подшипники по ЕТУ 500 ООО ТД "ЗПП" 30м от 08.07.2024</t>
  </si>
  <si>
    <t>ЗЮРАТКУЛЬ ООО НПО</t>
  </si>
  <si>
    <t>2226187415091412241009022/6444к/429 в ред ДС1 от 07.12.2022</t>
  </si>
  <si>
    <t>Аванс - Этап №4 (до20%,25г,180м)</t>
  </si>
  <si>
    <t>Аванс - Этап №4/1 (до80%,25г,180м)</t>
  </si>
  <si>
    <t>2325187912351422241015207/3436к/429 от 14.08.2023</t>
  </si>
  <si>
    <t>КАЗ/429/противооск.экраны от 01.01.2024</t>
  </si>
  <si>
    <t>Поставка Противоосколочные экраны</t>
  </si>
  <si>
    <t>ИЖСТАЛЬ ПАО</t>
  </si>
  <si>
    <t>поставка проката сортового</t>
  </si>
  <si>
    <t>№3. Аванс (до базовой даты).</t>
  </si>
  <si>
    <t>2226187415091412241009022/21240266/5625к/424 от 28.11.2023 (доп.закупка Спецификация №2 к ДС 1 от 17.07.2024 договор 2226187415091412241009022/21240266/5625к/424)</t>
  </si>
  <si>
    <t>2226187415091412241009022/21240266/5625к/424 от 28.11.2023 (доп.закупка Спецификация №3 к ДС 1 от 17.07.2024 договор 2226187415091412241009022/21240266/5625к/424)</t>
  </si>
  <si>
    <t>2226187415091412241009022/21240266/5625к/424 от 28.11.2023 (доп.закупка Спецификация №4 к ДС 1 от 18.07.2024 договор 2226187415091412241009022/21240266/5625к/424)</t>
  </si>
  <si>
    <t>2226187415091412241009022/21240266/5625к/424 от 28.11.2023 (доп.закупка Спецификация №5 к ДС 1 от 31.07.2024 договор 2226187415091412241009022/21240266/5625к/424)</t>
  </si>
  <si>
    <t>2225187325911422241000261/21240294/158к/424 от 04.12.2023 (доп.закупка Спецификация №2 к ДС 1 от 17.07.2024 договор 2225187325911422241000261/21240294/158к/424)</t>
  </si>
  <si>
    <t>2225187325911422241000261/21240294/158к/424 от 04.12.2023 (доп.закупка Спецификация №3 к ДС 1 от 17.07.2024 договор 2225187325911422241000261/21240294/158к/424)</t>
  </si>
  <si>
    <t>2225187325911422241000261/21240294/158к/424 от 04.12.2023 (доп.закупка Спецификация №4 к ДС 1 от 18.07.2024 договор 2225187325911422241000261/21240294/158к/424)</t>
  </si>
  <si>
    <t>2225187325911422241000261/21240294/158к/424 от 04.12.2023 (доп.закупка Спецификация №5 к ДС 1 от 17.07.2024 договор 2225187325911422241000261/21240294/158к/424)</t>
  </si>
  <si>
    <t>Спецификация №3 к ДС 1 от 17.07.2024 договор 2325187912341422241000262/21240293/160к/424 (Спецификация №3 к ДС 1 от 17.07.2024 дог. 2325187912341422241000262/21240293/160к/424)</t>
  </si>
  <si>
    <t>№1. Аванс (80%,24г).</t>
  </si>
  <si>
    <t>Поставка проката сортового (круги)</t>
  </si>
  <si>
    <t>поставка сортового металлопроката</t>
  </si>
  <si>
    <t>поставка металлопроката (лента)</t>
  </si>
  <si>
    <t>0262/424/2 от 05.08.2024</t>
  </si>
  <si>
    <t>Поставка батиста</t>
  </si>
  <si>
    <t>Институт порошковой металлургии имени академика О.В.Романа</t>
  </si>
  <si>
    <t>Втулка 175.36.065А 30м. от 08.07.2024</t>
  </si>
  <si>
    <t>поставка втулки</t>
  </si>
  <si>
    <t>ИНТРО ООО</t>
  </si>
  <si>
    <t>2225187325911422241000261/провода КПП от 24.06.2024</t>
  </si>
  <si>
    <t>2224187315101412241211123/плетенка от 15.07.2024</t>
  </si>
  <si>
    <t>Поставка плетенки ПМЛ</t>
  </si>
  <si>
    <t>Поставка ЦЕРЕЗИНА-75</t>
  </si>
  <si>
    <t>Поставка смазки ШРУС-4М</t>
  </si>
  <si>
    <t>ИСКОЖ АО</t>
  </si>
  <si>
    <t>КАЗ/426/винилискожа от 10.05.2024</t>
  </si>
  <si>
    <t>поставка винилискожи</t>
  </si>
  <si>
    <t>2226187415091412241009022/винилискожа от 03.06.2024</t>
  </si>
  <si>
    <t>2225187325911422241000261/винилискожа от 22.06.2024</t>
  </si>
  <si>
    <t>поставка винилискожи-Т обивочной "Универсал-2"</t>
  </si>
  <si>
    <t>поставка авизента</t>
  </si>
  <si>
    <t>ИСКОЖ ООО</t>
  </si>
  <si>
    <t>2224187315101412241211123/винилискожа от 17.07.2024</t>
  </si>
  <si>
    <t>поставка ниток специальных</t>
  </si>
  <si>
    <t>поставка ниток капроновых</t>
  </si>
  <si>
    <t>Поставка кабеля</t>
  </si>
  <si>
    <t>Поставка каната ПАТ</t>
  </si>
  <si>
    <t>Поставка масла ружейного</t>
  </si>
  <si>
    <t>КГКПЗ ФКП</t>
  </si>
  <si>
    <t>2225187325911422241000261/ПР-23-16/4926к/429 в ред. ДС1 от 19.10.2022</t>
  </si>
  <si>
    <t>Поставка боеприпасов</t>
  </si>
  <si>
    <t>Аванс - Этап №1 (80%,25г,153м)</t>
  </si>
  <si>
    <t>КЕХУ ЭЛЕКТРИК ООО</t>
  </si>
  <si>
    <t>Поставка текстолита ПТ</t>
  </si>
  <si>
    <t>поставка ленты</t>
  </si>
  <si>
    <t>2226187415091412241009022/лента ЛЭС от 03.06.2024</t>
  </si>
  <si>
    <t>поставка ленты ЛЭС</t>
  </si>
  <si>
    <t>2225187325911422241000261/лента ЛЭС от 24.06.2024</t>
  </si>
  <si>
    <t>поставка лент</t>
  </si>
  <si>
    <t>2225187325911422241000261/лента от 24.06.2024</t>
  </si>
  <si>
    <t>2224187315101412241211123/текстолит от 05.07.2024</t>
  </si>
  <si>
    <t>поставка текстолита</t>
  </si>
  <si>
    <t>Поставка лакоткани ЛШМС-105</t>
  </si>
  <si>
    <t>КЗС АО</t>
  </si>
  <si>
    <t>Поставка клея</t>
  </si>
  <si>
    <t>КАЗ/426/клей от 10.05.2024</t>
  </si>
  <si>
    <t>2226187415091412241009022/клей от 03.06.2024</t>
  </si>
  <si>
    <t>2225187325911422241000261/автогерметик от 22.06.2024</t>
  </si>
  <si>
    <t>№1. Аванс (до базовой даты).(100%,24г, 252м)</t>
  </si>
  <si>
    <t>поставка автогерметика</t>
  </si>
  <si>
    <t>КЗСК АО</t>
  </si>
  <si>
    <t>Поставка герметика</t>
  </si>
  <si>
    <t>КАЗ/426/герметик от 10.05.2024</t>
  </si>
  <si>
    <t>2226187415091412241009022/герметик от 03.06.2024</t>
  </si>
  <si>
    <t>2224187315101412241211123/автогерметик от 05.07.2024</t>
  </si>
  <si>
    <t>КЗЭ АО</t>
  </si>
  <si>
    <t>Поставка предохранителей ТП-400, ТП-600</t>
  </si>
  <si>
    <t>2226187415091412241009022/2514/2088к/429 от 15.05.2024</t>
  </si>
  <si>
    <t>2226187415091412241009022/2513/2171к/429 от 15.05.2024</t>
  </si>
  <si>
    <t>Поставка предохранителей ТП-250</t>
  </si>
  <si>
    <t>Аванс - Этап №1 (100%,25г,15м)</t>
  </si>
  <si>
    <t>2746/2307к/429 от 03.06.2024</t>
  </si>
  <si>
    <t>Аванс - Этап №1 (100%,25г,31м)</t>
  </si>
  <si>
    <t>2224187315101412241211123/2515/2506к/429 от 15.05.2024</t>
  </si>
  <si>
    <t>Поставка предохранителей ТП-200; ТП-400;ТП-600</t>
  </si>
  <si>
    <t>2225187325911422241000261/429/новый/ТП-600 от 01.01.2024</t>
  </si>
  <si>
    <t>Поставка предохранителей ТП-600</t>
  </si>
  <si>
    <t>Аванс - Этап №3 (100%,25г,153м)</t>
  </si>
  <si>
    <t>2325187912341422241000262/2821 от 03.06.2024</t>
  </si>
  <si>
    <t>Аванс - Этап №1 (100%,25г,20м)</t>
  </si>
  <si>
    <t>КИБИХ ООО</t>
  </si>
  <si>
    <t>Поставка спирта технического</t>
  </si>
  <si>
    <t>2226187415091412241009022/спирт от 04.06.2024</t>
  </si>
  <si>
    <t>2224187315101412241211123/спирт этиловый от 18.07.2024</t>
  </si>
  <si>
    <t>Поставка спирта этилового технического</t>
  </si>
  <si>
    <t>КМЗ АО</t>
  </si>
  <si>
    <t>2224187315101412241211123/429/25год/патрон30 от 01.01.2024</t>
  </si>
  <si>
    <t>Поставка патронов 30мм</t>
  </si>
  <si>
    <t>КОБАЛЬТ ООО</t>
  </si>
  <si>
    <t>поставка трубки ТУТ</t>
  </si>
  <si>
    <t>2226187415091412241009022/2594к/426 от 15.07.2024</t>
  </si>
  <si>
    <t>2226187415091412241009022/трубка ТУТ от 03.06.2024</t>
  </si>
  <si>
    <t>№1. Аванс (до базовой даты).(80%,24г, 180м)</t>
  </si>
  <si>
    <t>2225187325911422241000261/трубка ТУТ от 25.06.2024</t>
  </si>
  <si>
    <t>№1. Аванс (до базовой даты).(100%,24г,252М)</t>
  </si>
  <si>
    <t>2225187325911422241000261/трубка тут от 25.06.2024</t>
  </si>
  <si>
    <t>КОЖПРОМРЕСУРС ООО</t>
  </si>
  <si>
    <t>поставка ремней кожаных</t>
  </si>
  <si>
    <t>2224187315101412241211123/2848к/426 от 30.07.2024</t>
  </si>
  <si>
    <t>2225187325911422241000261/2849к/426 от 30.07.2024</t>
  </si>
  <si>
    <t>0261-24-25-120+77</t>
  </si>
  <si>
    <t>КАЗ/426/ремни кожаные от 10.05.2024</t>
  </si>
  <si>
    <t>2226187415091412241009022/ремни кожаные от 03.06.2024</t>
  </si>
  <si>
    <t>2325187912341422241000262/3253к/426 от 23.08.2024</t>
  </si>
  <si>
    <t>КОЛЬСКАЯ ГМК АО</t>
  </si>
  <si>
    <t>поставка никеля</t>
  </si>
  <si>
    <t>2226187415091412241009022/1181/Н/112/2238к/424 от 20.06.2024</t>
  </si>
  <si>
    <t>2225187325911422241000261/9965/Н/111/2239к/424 от 20.06.2024</t>
  </si>
  <si>
    <t>КОМПАНИЯ ХИМКО ООО</t>
  </si>
  <si>
    <t>Поставка калия хлористого</t>
  </si>
  <si>
    <t>Поставка цинка азотнокислого</t>
  </si>
  <si>
    <t>2225187325911422241000261/2638к/426 от 17.07.2024</t>
  </si>
  <si>
    <t>КОМЭЛЕКТРОТЕХ ООО НПЦ</t>
  </si>
  <si>
    <t>2225187325911422241000261/диоды от 22.06.2024</t>
  </si>
  <si>
    <t>2225187325911422241000261/резисторы от 24.06.2024</t>
  </si>
  <si>
    <t>КОНЦЕРН СОЗВЕЗДИЕ АО</t>
  </si>
  <si>
    <t>2226187415091412241009022/57.1054/2022/4916к/429 от 29.07.2022</t>
  </si>
  <si>
    <t>Поставка ПТК для Т90М</t>
  </si>
  <si>
    <t>Аванс - Этап №3 (80%,25г,180м)</t>
  </si>
  <si>
    <t>2426187915321412241236382/57.832/2023/5146к/429 от 26.06.2023</t>
  </si>
  <si>
    <t>Поставка Программно-технический комплекс для Т-90М   ИТНЯ.469679.004-02</t>
  </si>
  <si>
    <t>2225187325911422241000261/429/новый/АВСКУ от 01.01.2024</t>
  </si>
  <si>
    <t>Аванс - Этап №1 (80%,25г,77м)</t>
  </si>
  <si>
    <t>Поставка комплекса программно-аппаратного АВСКУ</t>
  </si>
  <si>
    <t>КОРПОРАЦИЯ ВСМПО-АВИСМА ПАО</t>
  </si>
  <si>
    <t>2226187415091412241009022/429/25год/АК-23 от 01.01.2024</t>
  </si>
  <si>
    <t>Поставка поковки штампованной</t>
  </si>
  <si>
    <t>КОРПОРАЦИЯ КРАСНЫЙ ОКТЯБРЬ АО</t>
  </si>
  <si>
    <t>КРОКУС-МОЛНИЯ ООО</t>
  </si>
  <si>
    <t>Поставка застежек молний</t>
  </si>
  <si>
    <t>КАЗ/426/застёжка металлическая от 10.05.2024</t>
  </si>
  <si>
    <t>2226187415091412241009022/426/застежка металл. от 03.06.2024</t>
  </si>
  <si>
    <t>Поставка застежки металлической</t>
  </si>
  <si>
    <t>2224187315101412241211123/застёжка молния от 18.07.2024</t>
  </si>
  <si>
    <t>КРТ, ОАО КУРСКРЕЗИНОТЕХНИКА ОАО</t>
  </si>
  <si>
    <t>поставка пластины резинотканевой РТП</t>
  </si>
  <si>
    <t>поставка пластин резиновых и резинотканевых</t>
  </si>
  <si>
    <t>поставка пластин</t>
  </si>
  <si>
    <t>поставка коврика резинового</t>
  </si>
  <si>
    <t>КАЗ/426/пластина резинотканевая от 10.05.2024</t>
  </si>
  <si>
    <t>2225187325911422241000261/ковер резиновый от 24.06.2024</t>
  </si>
  <si>
    <t>№1. Аванс (до базовой даты).(100%,25г, 252м)</t>
  </si>
  <si>
    <t>2225187325911422241000261/пластина резинотканевая от 24.06.2024</t>
  </si>
  <si>
    <t>№1. Аванс (до базовой даты).(80%,24г,252м)</t>
  </si>
  <si>
    <t>2224187315101412241211123/пластины от 16.07.2024</t>
  </si>
  <si>
    <t>КУЛЗ АО</t>
  </si>
  <si>
    <t>2224187315101412241211123/4177к/429 от 15.09.2022</t>
  </si>
  <si>
    <t>Поставка дисков, накладок фрикционных</t>
  </si>
  <si>
    <t>Аванс - Этап №4 (до80%,25г,30м)</t>
  </si>
  <si>
    <t>2226187415091412241009022/4911к/429 от 19.10.2022</t>
  </si>
  <si>
    <t>Поставка дисков</t>
  </si>
  <si>
    <t>Аванс - Этап №5 (до20%,25г,180м)</t>
  </si>
  <si>
    <t>2225187325911422241000261/4951к/429 от 19.10.2022</t>
  </si>
  <si>
    <t>Аванс - Спец №6 (80%,25г,153м).</t>
  </si>
  <si>
    <t>Аванс - Спец №3 (80%,25г,55м)</t>
  </si>
  <si>
    <t>2325187912341422241000262/4890к/429 от 15.11.2023</t>
  </si>
  <si>
    <t>Аванс- Этап №2 (до80%,25г,20м)</t>
  </si>
  <si>
    <t>КАЗ/429/диски 172.40 от 01.01.2024</t>
  </si>
  <si>
    <t>Поставка дисков 172.40.031сб, 172.40.032сб</t>
  </si>
  <si>
    <t>№1. Аванс (90%,24г).</t>
  </si>
  <si>
    <t>поставка ткани технической</t>
  </si>
  <si>
    <t>КЭМЗ АО</t>
  </si>
  <si>
    <t>2226187415091412241009022/160/732-22/4787к/429 от 17.10.2022</t>
  </si>
  <si>
    <t>Аванс - Этап №3 (до80%,25г,180м)</t>
  </si>
  <si>
    <t>2224187315101412241211123/40/464-22/4902к/429 от 28.07.2022 (доп.закупка 2224187315101412241211123/40/464-22/4902к/429/25год от 01.01.2024)</t>
  </si>
  <si>
    <t>2225187325911422241000261/40/475-22/4937к/429 от 09.09.2022</t>
  </si>
  <si>
    <t>Поставка стабилизатора танкового вооружения МКРН.462534.037-01; датчика крена и тангажа МКРН.402113.002-01;КМЧ МКРН.305651.216</t>
  </si>
  <si>
    <t>2225187325911422241000261/160/730-22/5185к/429 от 23.08.2022 (доп.закупка 2225187325911422241000261/160/730-22/5185к/429 от 01.01.2024)</t>
  </si>
  <si>
    <t>2226187415091412241009022/40/473-22/5580к/429 от 28.10.2022</t>
  </si>
  <si>
    <t>Аванс - Этап №4 (до80%,25г,180м)</t>
  </si>
  <si>
    <t>2224187315101412241211123/160/928-23/4365к/429 от 11.07.2023</t>
  </si>
  <si>
    <t>2325187912341422241000262/160/930-23/5033к/429 от 11.07.2023</t>
  </si>
  <si>
    <t>Аванс - Этап №2 (до80%,25г,20м)</t>
  </si>
  <si>
    <t>2325187912341422241000262/40/424-23/5535к/429 от 31.07.2023</t>
  </si>
  <si>
    <t>КАЗ/429/ИЛ от 01.01.2024</t>
  </si>
  <si>
    <t>Поставка редуктора воздушного ИЛ611-150-25-К, ИЛ611-150-70-К</t>
  </si>
  <si>
    <t>КАЗ/429/стабилизатор от 01.01.2024</t>
  </si>
  <si>
    <t>КЭМЗ ООО</t>
  </si>
  <si>
    <t>2226187415091412241009022/11/7/4030к/429 от 04.07.2023</t>
  </si>
  <si>
    <t>Поставка клапана электровоздушного ЭК-48</t>
  </si>
  <si>
    <t>2225187325911422241000261/11/10/5668к/429 от 01.11.2023</t>
  </si>
  <si>
    <t>Поставка клапана электровоздушного ЭК-48 7Д5.154.003 ТУ</t>
  </si>
  <si>
    <t>Аванс - Этап №3 (до80%,25г,153м)</t>
  </si>
  <si>
    <t>2325187912341422241000262/11/9/168к/429 от 01.11.2023</t>
  </si>
  <si>
    <t>Поставка клапана электровоздушного</t>
  </si>
  <si>
    <t>2224187315101412241211123/429/25год/ЭК-48 от 01.01.2024</t>
  </si>
  <si>
    <t>ЛАБОРАТОРИЯ ППШ АО</t>
  </si>
  <si>
    <t>Поставка Изделия ЛГШ-689 БИЛЮ 464227.020</t>
  </si>
  <si>
    <t>2224187315101412241211123/997к/429 от 25.03.2024</t>
  </si>
  <si>
    <t>2226187415091412241009022/2278к/429 от 25.06.2024</t>
  </si>
  <si>
    <t>Поставка системы Тритон</t>
  </si>
  <si>
    <t>2224187315101412241211123/2279к/429 от 25.06.2024</t>
  </si>
  <si>
    <t>2225187325911422241000261/2431к/429 от 04.07.2024</t>
  </si>
  <si>
    <t>Аванс - Этап №2 (до80%,25г,153/55м)</t>
  </si>
  <si>
    <t>2325187912341422241000262/3188к/429 от 21.08.2024</t>
  </si>
  <si>
    <t>Аванс - Этап №1 (до65%,25г,20м)</t>
  </si>
  <si>
    <t>2426187915321412241236382/3192к/429 от 21.08.2024</t>
  </si>
  <si>
    <t>Аванс - Этап №1 (до65%,25г,31м)</t>
  </si>
  <si>
    <t>ЛВС ООО НПФ</t>
  </si>
  <si>
    <t>поставка листов броневых марки А3</t>
  </si>
  <si>
    <t>2224187315101412241211123/642/24/2785к/424 от 26.06.2024</t>
  </si>
  <si>
    <t>2226187415091412241009022/640/24/2786к/424 от 26.06.2024</t>
  </si>
  <si>
    <t>2225187325911422241000261/641/24/2787к/424 от 26.06.2024</t>
  </si>
  <si>
    <t>6382/424/2 от 23.07.2024</t>
  </si>
  <si>
    <t>ЛЕНТА АО</t>
  </si>
  <si>
    <t>2226187415091412241009022/лента ЛРТК от 03.06.2024</t>
  </si>
  <si>
    <t>Поставка застежки текстильной</t>
  </si>
  <si>
    <t>426-12/4377 от 16.07.2024</t>
  </si>
  <si>
    <t>Поставка ленты ЛРТ</t>
  </si>
  <si>
    <t>426-12/4376 от 16.07.2024</t>
  </si>
  <si>
    <t>426-12/4375 от 16.07.2024</t>
  </si>
  <si>
    <t>Л-5540 от 24.07.2024</t>
  </si>
  <si>
    <t>Л-5532 от 24.07.2024</t>
  </si>
  <si>
    <t>КАЗ/426/лента ЛРТК от 10.05.2024</t>
  </si>
  <si>
    <t>КАЗ/426/застёжка текстильная от 10.05.2024</t>
  </si>
  <si>
    <t>2226187415091412241009022/застёжка текстильная от 03.06.2024</t>
  </si>
  <si>
    <t>2224187315101412241211123/лента х/б от 17.07.2024</t>
  </si>
  <si>
    <t>поставка ленты хлопчатобумажной</t>
  </si>
  <si>
    <t>2224187315101412241211123/нитки специальные от 17.07.2024</t>
  </si>
  <si>
    <t>ЛЕНТЕКС ООО</t>
  </si>
  <si>
    <t>2226187415091412241009022/лента ЛЭ от 03.06.2024</t>
  </si>
  <si>
    <t>поставка ленты ЛЭ</t>
  </si>
  <si>
    <t>2225187325911422241000261/лента ЛЭ от 24.06.2024</t>
  </si>
  <si>
    <t>2224187315101412241211123/лента ЛЭ от 17.07.2024</t>
  </si>
  <si>
    <t>КАЗ/426/лентп ЛЭ от 10.05.2024</t>
  </si>
  <si>
    <t>ЛЕПСЕ АО</t>
  </si>
  <si>
    <t>2225187325911422241000261/ДИ-55-0977-22-ГОЗ/4614к/429 от 17.08.2022</t>
  </si>
  <si>
    <t>поставка электродвигателей МУ431А; микровыключателей А812К( с гайками)</t>
  </si>
  <si>
    <t>Аванс - Этап №3 (50%,25г,55м)</t>
  </si>
  <si>
    <t>2325187912341422241000262/ДИ-55-1175-23-ГОЗ/5680к/429 от 08.11.2023</t>
  </si>
  <si>
    <t>Поставка микровыключателей А812К</t>
  </si>
  <si>
    <t>2226187415091412241009022/ДИ-55-0258-24-ГОЗ/1709к/429 от 29.03.2024</t>
  </si>
  <si>
    <t>Аванс - Этап №1 (50%,25г,10м)</t>
  </si>
  <si>
    <t>КАЗ/429/А812К от 01.01.2024</t>
  </si>
  <si>
    <t>2225187325911422241000261/429/новый/А812К от 01.01.2024</t>
  </si>
  <si>
    <t>Поставка микропереключателей А812К, электродвигателей МУ-431А</t>
  </si>
  <si>
    <t>Аванс - Этап №2 (20%,25г,153м)</t>
  </si>
  <si>
    <t>2224187315101412241211123/429/25год/А812К от 01.01.2024</t>
  </si>
  <si>
    <t>Аванс - Этап №1 (50%,25г,30м)</t>
  </si>
  <si>
    <t>Поставка микропереключателя А812К</t>
  </si>
  <si>
    <t>ЛИСМА ООО</t>
  </si>
  <si>
    <t>2225187325911422241000261/лампы от 25.06.2024</t>
  </si>
  <si>
    <t>поставка ламп ПЖЗ</t>
  </si>
  <si>
    <t>ЛЭТЗ ПАО</t>
  </si>
  <si>
    <t>Поставка сигнала звукового безрупорного С314Г ПЗ, валов гибких ГВ301М, ГВ301М-02</t>
  </si>
  <si>
    <t>Поставка Стартер-генератор СГ-18-1С</t>
  </si>
  <si>
    <t>Поставка стартер-генератора СГ 18-1С</t>
  </si>
  <si>
    <t>Поставка сигнала звукового С314Г, вала гибкого</t>
  </si>
  <si>
    <t>КАЗ/429/сигнал,вал от 01.01.2024</t>
  </si>
  <si>
    <t>МАРКИТ ООО</t>
  </si>
  <si>
    <t>Поставка металлофото</t>
  </si>
  <si>
    <t>2325187912351422241015207/2531к/426 от 10.07.2024</t>
  </si>
  <si>
    <t>2225187325911422241000261/2536к/426 от 10.07.2024</t>
  </si>
  <si>
    <t>№1. Аванс (до базовой даты).(100%,24г131м,25г.55м)</t>
  </si>
  <si>
    <t>2224187315101412241211123/2545к/426 от 10.07.2024</t>
  </si>
  <si>
    <t>№1. Аванс (до базовой даты).(100%,24г10м,25г.30м)</t>
  </si>
  <si>
    <t>2325187912341422241000262/2552к/426 от 10.07.2024</t>
  </si>
  <si>
    <t>№1. Аванс (до базовой даты).(100%,24г31м,25г.20м)</t>
  </si>
  <si>
    <t>МАШЗАВОД ШТАМП АО</t>
  </si>
  <si>
    <t>Поставка звеньев патронной ленты</t>
  </si>
  <si>
    <t>2226187415091412241009022/3085к/424 от 15.08.2024</t>
  </si>
  <si>
    <t>поставка талрепа</t>
  </si>
  <si>
    <t>МЗКО ООО</t>
  </si>
  <si>
    <t>2226187415091412241009022/429/25год/отопитель от 01.01.2024</t>
  </si>
  <si>
    <t>Поставка отопителя ОС-4-У2-24-10</t>
  </si>
  <si>
    <t>КАЗ/429/отопитель от 01.01.2024</t>
  </si>
  <si>
    <t>поставка отопителей ОС-4-У2-24-10</t>
  </si>
  <si>
    <t>МЗЭМ АО</t>
  </si>
  <si>
    <t>Поставка ТГП-1</t>
  </si>
  <si>
    <t>ПГ/12/22/752к/429 в ред. ДС1 от 24.11.2021 (2225187325911422241000261/ПГ/12/22/008-23 от 26.08.2022)</t>
  </si>
  <si>
    <t>МИАССЭЛЕКТРОАППАРАТ АО</t>
  </si>
  <si>
    <t>2226187415091412241009022/44/23-40/6094к/429 от 05.10.2022</t>
  </si>
  <si>
    <t>Поставка МЗН-2</t>
  </si>
  <si>
    <t>2224187315101412241211123/44/23-39/6113к/429 от 05.10.2022</t>
  </si>
  <si>
    <t>Поставка МЗН-2 с эл. двиг. МН1-2С</t>
  </si>
  <si>
    <t>Аванс - Этап №4 (80%,25г,30м)</t>
  </si>
  <si>
    <t>2225187325911422241000261/6155к/429 от 29.11.2022</t>
  </si>
  <si>
    <t>Поставка насоса МЗН-2</t>
  </si>
  <si>
    <t>2325187912341422241000262/1020к/429 от 27.03.2024</t>
  </si>
  <si>
    <t>2225187325911422241000261/44/24-36/1412к/429 от 04.04.2024</t>
  </si>
  <si>
    <t>Аванс - Этап №2 (до80%,25г,197м)</t>
  </si>
  <si>
    <t>КАЗ/429/насосы/// от 01.01.2024</t>
  </si>
  <si>
    <t>поставка слюды</t>
  </si>
  <si>
    <t>МК СИД ООО</t>
  </si>
  <si>
    <t>2225187325911422241000261/2706к/424 от 03.07.2024</t>
  </si>
  <si>
    <t>поставка ленты У7А-С-0,3х60</t>
  </si>
  <si>
    <t>ММК ПАО</t>
  </si>
  <si>
    <t>2225187325911422241000261/257351/5214к/424 от 22.11.2023</t>
  </si>
  <si>
    <t>№3. Аванс (до базовой даты).(80%,24г.)</t>
  </si>
  <si>
    <t>2325187912341422241000262/258754/1916к/424 от 19.03.2024</t>
  </si>
  <si>
    <t>2226187415091412241009022/2354к/424/259847 от 28.06.2024</t>
  </si>
  <si>
    <t>поставка спецлистов</t>
  </si>
  <si>
    <t>2224187315101412241211123/2437к/424/260024 от 04.07.2024</t>
  </si>
  <si>
    <t>6382/424/1 от 23.07.2024</t>
  </si>
  <si>
    <t>поставка спец. листов ККВ</t>
  </si>
  <si>
    <t>ММК-МЕТИЗ ОАО</t>
  </si>
  <si>
    <t>2226187415091412241009022/МК216172/648к/424 от 27.12.2023 (доп.закупка Спецификация 2 от 22.07.2024 (в ред. ДС 1) договор 2226187415091412241009022/МК216172/648к/424)</t>
  </si>
  <si>
    <t>2225187325911422241000261/МК216171/650к/424 от 27.12.2023 (доп.закупка Спецификация №2 от 22.07.2024 (в ред. ДС 1) договор 2225187325911422241000261/МК216171/650к/424)</t>
  </si>
  <si>
    <t>0261/424/33 от 26.07.2024</t>
  </si>
  <si>
    <t>поставка калиброванных мотков</t>
  </si>
  <si>
    <t>МОЛОТ-ОРУЖИЕ ООО</t>
  </si>
  <si>
    <t>2224187315101412241211123/1-051/4880к/429 от 02.06.2022 (доп.закупка 2224187315101412241211123/1-051/4880к/25год/429 от 01.01.2024)</t>
  </si>
  <si>
    <t>МОСАВТОСТЕКЛО ООО</t>
  </si>
  <si>
    <t>Поставка стеклоизделий</t>
  </si>
  <si>
    <t>2225187325911422241000261/56мас/08/5416к/429 от 15.08.2022</t>
  </si>
  <si>
    <t>2325187912341422241000262/108мас/10/5702к/429 от 18.10.2023</t>
  </si>
  <si>
    <t>2226187415091412241009022/23мас/03/2046к/429 от 28.03.2024</t>
  </si>
  <si>
    <t>2225187325911422241000261/42мас/05/2739к/429 от 30.05.2024</t>
  </si>
  <si>
    <t>Аванс - Этап №2 (до80%,25г,153м)</t>
  </si>
  <si>
    <t>2224187315101412241211123/35мас/05/2839к/429 от 15.05.2024</t>
  </si>
  <si>
    <t>Поставка стекла 434.04.067-Г</t>
  </si>
  <si>
    <t>КАЗ/429/Стекло от 01.01.2024</t>
  </si>
  <si>
    <t>Поставка стекла 60М.000</t>
  </si>
  <si>
    <t>МОСНИТКИ ОАО</t>
  </si>
  <si>
    <t>2224187315101412241211123/нитки от 17.07.2024</t>
  </si>
  <si>
    <t>МОСНИТКИ ООО</t>
  </si>
  <si>
    <t>2224187315101412241211123/нитки армированные от 17.07.2024</t>
  </si>
  <si>
    <t>Поставка ниток армированных</t>
  </si>
  <si>
    <t>МПЗ АО</t>
  </si>
  <si>
    <t>Поставка пиропатронов</t>
  </si>
  <si>
    <t>2226187415091412241009022/135Д/4908к/429 от 29.07.2022 (доп.закупка 2226187415091412241009022/135Д/4908к/429/25год от 01.01.2024)</t>
  </si>
  <si>
    <t>2225187325911422241000261/133Д/4912к/429 от 29.07.2022</t>
  </si>
  <si>
    <t>2225187325911422241000261/133Д/4912к/429 от 29.07.2022 (доп.закупка 2225187325911422241000261/133Д/4912к/429 от 01.01.2024)</t>
  </si>
  <si>
    <t>Поставка пиропатрона</t>
  </si>
  <si>
    <t>2224187315101412241211123/25год/429/ППМ от 01.01.2024</t>
  </si>
  <si>
    <t>Аванс - Этап №1 (8000%,25г,30м)</t>
  </si>
  <si>
    <t>Поставка пиропатронов ППМ-2</t>
  </si>
  <si>
    <t>МПО ИМ. И. РУМЯНЦЕВА АО</t>
  </si>
  <si>
    <t>2224187315101412241211123/4342к/429/РИ-02/03/02Р/754-22 в ред. ДС2 от 26.09.2022</t>
  </si>
  <si>
    <t>Поставка компрессора воздушного АК150СВ-Ю, автомата давления АДУ2С</t>
  </si>
  <si>
    <t>2225187325911422241000261/4644к/429/РИ-02/03/01Р/757-22 от 07.10.2022</t>
  </si>
  <si>
    <t>Поставка компрессора воздушного АК150СВ-Ю</t>
  </si>
  <si>
    <t>Аванс - Этап №5 (до80%,25г,153м)</t>
  </si>
  <si>
    <t>2226187415091412241009022/4799к/429/РИ-02/03/01Р/775-22 от 17.10.2022</t>
  </si>
  <si>
    <t>2325187912341422241000262/4548к/429/РИ-02/03/02Р/1004-23 от 23.10.2023</t>
  </si>
  <si>
    <t>Поставка компрессора воздушного, автомата давления</t>
  </si>
  <si>
    <t>2426187915321412241236382/2472к/429/РИ-02/03/02Р/593-24 от 08.07.2024</t>
  </si>
  <si>
    <t>поставка автоматов давдения АДУ2С, компрессоров воздушных АК150СВ-Ю</t>
  </si>
  <si>
    <t>№1. Аванс (100%).</t>
  </si>
  <si>
    <t>НАДЕЖДИНСКИЙ МЕТАЛЛУРГИЧЕСКИЙ ЗАВОД ПАО</t>
  </si>
  <si>
    <t>НАУКОМ ООО</t>
  </si>
  <si>
    <t>2225187325911422241000261/лак от 24.06.2024</t>
  </si>
  <si>
    <t>Поставка лака бакелитового ЛБС-1</t>
  </si>
  <si>
    <t>НЕВСКИЙ ФИЛЬТР ЗАВОД №1 ООО</t>
  </si>
  <si>
    <t>2224187315101412241211123/429/25год/фильтр от 01.01.2024</t>
  </si>
  <si>
    <t>Поставка фильтрующего элемента</t>
  </si>
  <si>
    <t>НЕФТЕХИМИК-Н ООО</t>
  </si>
  <si>
    <t>2225187325911422241000261/растворитель от 24.06.2024</t>
  </si>
  <si>
    <t>№1. Аванс (до базовой даты).(80%,25г,252м)</t>
  </si>
  <si>
    <t>Поставка растворителей</t>
  </si>
  <si>
    <t>поставка стекла органического</t>
  </si>
  <si>
    <t>поставка оргстекла</t>
  </si>
  <si>
    <t>поставка стекла листового органического</t>
  </si>
  <si>
    <t>НИИ СТАЛИ АО</t>
  </si>
  <si>
    <t>Поставка комплекса средств снижения заметности ИМЖВ 169.500.000</t>
  </si>
  <si>
    <t>Поставка контейнера динамической защиты ИМЖВ.516.300.000-01</t>
  </si>
  <si>
    <t>2225187325911422241000261/2.2851.400/6185к/429 от 12.10.2022 (доп.закупка 2225187325911422241000261/2.2851.400/6185к/429/новый от 01.01.2024)</t>
  </si>
  <si>
    <t>Аванс - Этап №2 (80%,25г,55/153м)</t>
  </si>
  <si>
    <t>Поставка панелей контейнера ИМЖВ.445.900</t>
  </si>
  <si>
    <t>поставка чехлов</t>
  </si>
  <si>
    <t>2225187325911422241000261/2.3148.400/3910к/429 от 30.08.2023</t>
  </si>
  <si>
    <t>Поставка комплекса средств снижения заметности</t>
  </si>
  <si>
    <t>2225187325911422241000261/2.3148.400/3910к/429 от 30.08.2023 (доп.закупка 2225187325911422241000261/2.3148.400/3910к/429/новый от 01.01.2024)</t>
  </si>
  <si>
    <t>2325187912341422241000262/1791к/429/2.3175.400 от 23.05.2024</t>
  </si>
  <si>
    <t>КАЗ/429/комплекс средств сниж.заметн. от 01.01.2024</t>
  </si>
  <si>
    <t>КАЗ/429///экраны от 01.01.2024</t>
  </si>
  <si>
    <t>КАЗ/429/чехлы от 01.01.2024</t>
  </si>
  <si>
    <t>2226187415091412241009022/429/25год/ИМЖВ от 01.01.2024</t>
  </si>
  <si>
    <t>2224187315101412241211123/429/25год/панель от 01.01.2024</t>
  </si>
  <si>
    <t>НИИД АО</t>
  </si>
  <si>
    <t>2224187315101412241211123/3912к/429 от 31.08.2022</t>
  </si>
  <si>
    <t>Поставка Радиаторов изд. 188</t>
  </si>
  <si>
    <t>2225187325911422241000261/4960к/429 от 19.10.2022</t>
  </si>
  <si>
    <t>Аванс Этап №4 (80%,25г,153м)</t>
  </si>
  <si>
    <t>2325187912341422241000262/4888к/429 от 15.11.2023</t>
  </si>
  <si>
    <t>2226187415091412241009022/1528к/429 от 26.04.2024</t>
  </si>
  <si>
    <t>Аванс - Этап №1 (до80%,25г,10м)</t>
  </si>
  <si>
    <t>Поставка Радиаторов</t>
  </si>
  <si>
    <t>2422к/429 от 04.07.2024</t>
  </si>
  <si>
    <t>НИИЭМИ ООО</t>
  </si>
  <si>
    <t>поставка смеси резиновой</t>
  </si>
  <si>
    <t>поставка манжета</t>
  </si>
  <si>
    <t>КАЗ/426/смесь резиновая 51-1567 от 10.05.2024</t>
  </si>
  <si>
    <t>2226187415091412241009022/смесь резиновая 51-1567 от 03.06.2024</t>
  </si>
  <si>
    <t>№1. Аванс (до базовой даты).(80%,24г,18м)</t>
  </si>
  <si>
    <t>2225187325911422241000261/манжета от 22.06.2024</t>
  </si>
  <si>
    <t>№1. Аванс (до базовой даты).(100%,24г,197м)</t>
  </si>
  <si>
    <t>2224187315101412241211123/смеси резиновые от 16.07.2024</t>
  </si>
  <si>
    <t>НИМИ ИМ. В.В. БАХИРЕВА АО</t>
  </si>
  <si>
    <t>2225187325911422241000261/85-2022/5811к/429 (ДС1) от 15.11.2022</t>
  </si>
  <si>
    <t>Поставка выстрел 3ВБМ-17</t>
  </si>
  <si>
    <t>2226187415091412241009022/429/25год/выстрел от 01.01.2024</t>
  </si>
  <si>
    <t>2225187325911422241000261/новый/429/выстрел 3ВБ от 01.01.2024</t>
  </si>
  <si>
    <t>Аванс - Этап №1 (80%,25г,197м)</t>
  </si>
  <si>
    <t>НМЗ АО</t>
  </si>
  <si>
    <t>Поставка нагнетателя</t>
  </si>
  <si>
    <t>2225187325911422241000261/242/5011к/429 от 30.08.2022</t>
  </si>
  <si>
    <t>Поставка нагнетателя 434.87.003сб</t>
  </si>
  <si>
    <t>2225187325911422241000261/242/5011к/429 от 30.08.2022 (доп.закупка 2225187325911422241000261/242/5011к/429 от 01.01.2024)</t>
  </si>
  <si>
    <t>2226187415091412241009022/215/3963к/429 от 15.08.2023</t>
  </si>
  <si>
    <t>Аванс - Этап №4 (80%,25г,89м)</t>
  </si>
  <si>
    <t>2325187912341422241000262/322/5275к/429 от 20.11.2023</t>
  </si>
  <si>
    <t>2224187315101412241211123/120/1994к/429 от 25.03.2024</t>
  </si>
  <si>
    <t>Поставка нагнетателей</t>
  </si>
  <si>
    <t>КАЗ/429/нагнетатель/// от 01.01.2024</t>
  </si>
  <si>
    <t>НПЗ АО</t>
  </si>
  <si>
    <t>Поставка ТКН-3МК; ВК10-Т</t>
  </si>
  <si>
    <t>Поставка патронов</t>
  </si>
  <si>
    <t>КАЗ/429/изделия от 01.01.2024</t>
  </si>
  <si>
    <t>Поставка изделий 12,7;7,62</t>
  </si>
  <si>
    <t>2225187325911422241000261/429/новый/патроны/ от 01.01.2024</t>
  </si>
  <si>
    <t>Поставка патронов 12,7мм</t>
  </si>
  <si>
    <t>2226187415091412241009022/429/патроны/25год от 01.01.2024</t>
  </si>
  <si>
    <t>2224187315101412241211123/429/25год/патрон учебный от 01.01.2024</t>
  </si>
  <si>
    <t>Поставка учебных патронов</t>
  </si>
  <si>
    <t>НПК АВТОПРИБОР ООО</t>
  </si>
  <si>
    <t>поставка датчика скорости</t>
  </si>
  <si>
    <t>Поставка датчика скорости, прибора показывающего спидометра</t>
  </si>
  <si>
    <t>2225187325911422241000261/429/новый/датчик скорости от 01.01.2024</t>
  </si>
  <si>
    <t>2224187315101412241211123/429/25год/датчик// от 01.01.2024</t>
  </si>
  <si>
    <t>НПК АЛЬФА-М АО</t>
  </si>
  <si>
    <t>Поставка светильников</t>
  </si>
  <si>
    <t>2226187415091412241009022/4792к/429 от 17.10.2022</t>
  </si>
  <si>
    <t>Поставка видеомодуля АМВМ 1024х768.0,131; системы наружного видеонаблюдения СНВ-2</t>
  </si>
  <si>
    <t>Аванс - Этап №3 (до20%,25г,180м)</t>
  </si>
  <si>
    <t>Поставка ламп светодиодных ЛС</t>
  </si>
  <si>
    <t>Поставка активно-матричного видеомодуля</t>
  </si>
  <si>
    <t>2224187315101412241211123/1738-2024/1104к/429 от 05.02.2024</t>
  </si>
  <si>
    <t>Аванс - Этап №1 (до90%,25г,30м)</t>
  </si>
  <si>
    <t>Поставка Автомата сопровождения целей</t>
  </si>
  <si>
    <t>2226187415091412241009022/лампы ЛС от 03.06.2024</t>
  </si>
  <si>
    <t>2225187325911422241000261/лампыЛС от 24.06.2024</t>
  </si>
  <si>
    <t>2224187315101412241211123/лампы от 15.07.2024</t>
  </si>
  <si>
    <t>поставка ламп</t>
  </si>
  <si>
    <t>КАЗ/429/видеомодуль от 01.01.2024</t>
  </si>
  <si>
    <t>поставка видеомодуля</t>
  </si>
  <si>
    <t>2224187315101412241211123/429/25год/СО от 01.01.2024</t>
  </si>
  <si>
    <t>НПК БИС АО</t>
  </si>
  <si>
    <t>2225187325911422241000261/4438к/429/122208 от 29.09.2022</t>
  </si>
  <si>
    <t>Поставка автомата сопровождения цели</t>
  </si>
  <si>
    <t>2225187325911422241000261/742к/429/124294 от 12.03.2024</t>
  </si>
  <si>
    <t>НПК КБМ АО</t>
  </si>
  <si>
    <t>Поставка установки пусковой Б07С1.01.000</t>
  </si>
  <si>
    <t>2224187315101412241211123/532/1499-23/4121к/429 от 31.07.2023</t>
  </si>
  <si>
    <t>Аванс - Этап №2 (до90%,25г,30м)</t>
  </si>
  <si>
    <t>2325187912341422241000262/532/1505-23/5440к/429 от 24.11.2023</t>
  </si>
  <si>
    <t>Аванс - Этап №1 (до80%,25г,20м)</t>
  </si>
  <si>
    <t>2426187915321412241236382/532/1622-24/1584к/429 от 06.05.2024</t>
  </si>
  <si>
    <t>Аванс - Этап №1 (40%,25г,31м)</t>
  </si>
  <si>
    <t>Поставка комплекса активной защиты</t>
  </si>
  <si>
    <t>Аванс - Этап №1/1 (10%,25г,31м)</t>
  </si>
  <si>
    <t>НПК СПЕЦИАЛЬНАЯ МЕТАЛЛУРГИЯ ООО</t>
  </si>
  <si>
    <t>2225187325911422241000261/3101к/424 от 25.07.2024</t>
  </si>
  <si>
    <t>Поставка трубы</t>
  </si>
  <si>
    <t>НПК ЯРЛИ ЗАО</t>
  </si>
  <si>
    <t>Поставка герметика ЯрЛИ ШЛ-5</t>
  </si>
  <si>
    <t>2226187415091412241009022/герметик от 04.06.2024</t>
  </si>
  <si>
    <t>№1. Аванс (до базовой даты).(80%,245г,180м)</t>
  </si>
  <si>
    <t>2225187325911422241000261/герметик Ярли от 22.06.2024</t>
  </si>
  <si>
    <t>НПО ГИПО АО</t>
  </si>
  <si>
    <t>поставка тепловизионного канала ТПВК-А-PCS</t>
  </si>
  <si>
    <t>2226187415091412241009022/4791к/429/1465/580 от 17.10.2022 (доп.закупка 2226187415091412241009022/4791к/429/1465/580/25год от 01.01.2024)</t>
  </si>
  <si>
    <t>КАЗ/429/канал тепловизионный от 01.01.2024</t>
  </si>
  <si>
    <t>Поставка канала тепловизионного</t>
  </si>
  <si>
    <t>НПО КУРГАНПРИБОР АО</t>
  </si>
  <si>
    <t>2225187325911422241000261/239КП/2022/5992к/429 от 01.11.2022</t>
  </si>
  <si>
    <t>Поставка втулки гальваноударного действия ГУВ-7М</t>
  </si>
  <si>
    <t>2225187325911422241000261/239КП/2022/5992к/429 от 01.11.2022 (доп.закупка 2225187325911422241000261/239КП/2022/5992к/429 от 01.01.2024)</t>
  </si>
  <si>
    <t>2226187415091412241009022/242КП/2022/6169к/429 от 15.11.2022 (доп.закупка 2226187415091412241009022/242КП/2022/6169к/429/25год от 01.01.2024)</t>
  </si>
  <si>
    <t>НПО ПРИБОР ИМЕНИ С.С. ГОЛЕМБИОВСКОГО АО</t>
  </si>
  <si>
    <t>2224187315101412241211123/110-И/004-2024/1140к/429 от 12.02.2024</t>
  </si>
  <si>
    <t>НПО ПРОМТЕХНАКОМПЛЕКТ ООО</t>
  </si>
  <si>
    <t>поставка материала технического эластичного морозостойкого</t>
  </si>
  <si>
    <t>КАЗ/426/материал техничкский от 10.05.2024</t>
  </si>
  <si>
    <t>2226187415091412241009022/материал технический от 03.06.2024</t>
  </si>
  <si>
    <t>2225187325911422241000261/материал технический от 24.06.2024</t>
  </si>
  <si>
    <t>2224187315101412241211123/материал технический от 17.07.2024</t>
  </si>
  <si>
    <t>Поставка Присадки Акор-1</t>
  </si>
  <si>
    <t>НПО СПЛАВ ИМ. А.Н. ГАНИЧЕВА АО</t>
  </si>
  <si>
    <t>2224187315101412241211123/429/25год/прибор от 01.01.2024</t>
  </si>
  <si>
    <t>Поставка прибора автономного бортового с ЗИП</t>
  </si>
  <si>
    <t>НПО ЭЛЕКТРОМАШИНА АО</t>
  </si>
  <si>
    <t>поставка электрооборудования</t>
  </si>
  <si>
    <t>2225187325911422241000261/5529к/429/150Д-0715-22/00-0261 от 07.11.2022</t>
  </si>
  <si>
    <t>2225187325911422241000261/6160к/429/150Д-0799-22/00-0261 от 29.11.2022</t>
  </si>
  <si>
    <t>поставка корпусов</t>
  </si>
  <si>
    <t>Поставка электрооборудования</t>
  </si>
  <si>
    <t>Аванс - Этап №2 (80%,25г,15м)</t>
  </si>
  <si>
    <t>2325187912341422241000262/4806к/429/150Д-0815-23/00-0262 от 09.11.2023</t>
  </si>
  <si>
    <t>2325187912341422241000262/150Д-0695-23/00-0262/477к/429 от 26.09.2023</t>
  </si>
  <si>
    <t>2226187415091412241009022/902к/429/150Д-0243-24/00-9022 от 21.03.2024</t>
  </si>
  <si>
    <t>Аванс - Этап №1 (до80%,25г,81м)</t>
  </si>
  <si>
    <t>2224187315101412241211123/903к/429/150Д-0239-24/00  от 21.03.2024</t>
  </si>
  <si>
    <t>2226187415091412241009022/904к/429/150Д-0242-24/00  от 21.03.2024</t>
  </si>
  <si>
    <t>2226187415091412241009022/905к/429/150Д-0238-24/00-9022 от 21.03.2024</t>
  </si>
  <si>
    <t>Аванс - Этап №1 (80%,25г,89м)</t>
  </si>
  <si>
    <t>2426187915321412241236382/906к/429/150Д-0240-24/00-6382 ред. ДС1 от 21.03.2024</t>
  </si>
  <si>
    <t>КАЗ/429/кнопка/перемычка от 01.01.2024</t>
  </si>
  <si>
    <t>2226187415091412241009022/429/25год/ОТК от 01.01.2024</t>
  </si>
  <si>
    <t>Поставка изделий с ОТК</t>
  </si>
  <si>
    <t>НПП КУЗБАССРАДИО АО</t>
  </si>
  <si>
    <t>поставка микропереключателей</t>
  </si>
  <si>
    <t>Поставка микропереключателя ПМ22-2</t>
  </si>
  <si>
    <t>2325187912341422241000262/62201/1/ВП/5066к/429 от 23.10.2023</t>
  </si>
  <si>
    <t>Поставка микропереключателя ПМ22-2,ПМ21В</t>
  </si>
  <si>
    <t>2325187912341422241000262/62201/1/ВП/5066к/429 в ред. ДС1 от 23.10.2023</t>
  </si>
  <si>
    <t>Поставка микропереключателей ПМ</t>
  </si>
  <si>
    <t>2226187415091412241009022/62201/1912к/429 от 01.04.2024</t>
  </si>
  <si>
    <t>2224187315101412241211123/62201/2312к/429 от 13.05.2024</t>
  </si>
  <si>
    <t>Поставка микропереключателя ПМ22-2, держателя вставки плавкой ДВП4-1</t>
  </si>
  <si>
    <t>2225187325911422241000261/62201/2379к/429 от 16.05.2024</t>
  </si>
  <si>
    <t>КАЗ/429/ПМ22-2 от 01.01.2024</t>
  </si>
  <si>
    <t>НПП РЕСПИРАТОР АО</t>
  </si>
  <si>
    <t>Поставка вентиля кислородного КВ-1П</t>
  </si>
  <si>
    <t>2225187325911422241000261/134/251-09/22/4889к/429 от 25.08.2022</t>
  </si>
  <si>
    <t>2225187325911422241000261/134/251-09/22/4889к/429 от 25.08.2022 (доп.закупка 2225187325911422241000261/134/251-09/22/4889к/429 от 01.01.2024)</t>
  </si>
  <si>
    <t>2325187912341422241000262/179/251-09/23/5489к/429 от 14.11.2023</t>
  </si>
  <si>
    <t>Аванс  - Этап №1 (80%,24/25г,31/20м)</t>
  </si>
  <si>
    <t>2226187415091412241009022/028/251-09/24/1428к/429 от 20.02.2024</t>
  </si>
  <si>
    <t>Аванс - Этап №1 (80%,25г,81м)</t>
  </si>
  <si>
    <t>2226187415091412241009022/028/251-09/24/1438к/429 от 20.02.2024</t>
  </si>
  <si>
    <t>КАЗ/429/вентиль от 01.01.2024</t>
  </si>
  <si>
    <t>2224187315101412241211123/429/25год/вентиль от 01.01.2024</t>
  </si>
  <si>
    <t>НППЭПОТОС ООО</t>
  </si>
  <si>
    <t>Поставка генератора огнетушащего аэрозоля ГОА-19</t>
  </si>
  <si>
    <t>2226187415091412241009022/4959к/429 от 19.10.2022</t>
  </si>
  <si>
    <t>Поставка генератора огнетушащего аэрозоля</t>
  </si>
  <si>
    <t>Аванс - Этап №4 (до20%,25г,10м)</t>
  </si>
  <si>
    <t>2325187912351422241015207/4051к/429 от 18.08.2023</t>
  </si>
  <si>
    <t>КАЗ/429/генератор.огнет.аэроз. от 01.01.2024</t>
  </si>
  <si>
    <t>2224187315101412241211123/429/25год/ГОА-19 от 01.01.2024</t>
  </si>
  <si>
    <t>НППЭТАЛОН АО</t>
  </si>
  <si>
    <t>Поставка приемника термометра сопротивления П-1</t>
  </si>
  <si>
    <t>2225187325911422241000261/335/5787к/429 от 21.10.2022</t>
  </si>
  <si>
    <t>2325187912351422241015207/226/3756к/429 от 26.06.2023</t>
  </si>
  <si>
    <t>2325187912341422241000262/348/336к/429 от 19.10.2023</t>
  </si>
  <si>
    <t>2226187415091412241009022/84/1835к/429 от 27.03.2024</t>
  </si>
  <si>
    <t>2225187325911422241000261/125/2100к/429 от 08.05.2024</t>
  </si>
  <si>
    <t>Аванс - Этап №1 (до80%,25г,197м)</t>
  </si>
  <si>
    <t>Поставка приемников термометра сопротивления П-1</t>
  </si>
  <si>
    <t>2224187315101412241211123/124/2101к/429 от 08.05.2024</t>
  </si>
  <si>
    <t>КАЗ/429/П-1 от 01.01.2024</t>
  </si>
  <si>
    <t>НПФ ПОЛИПЛАСТ ООО</t>
  </si>
  <si>
    <t>2224187315101412241211123/429/25год/бак от 01.01.2024</t>
  </si>
  <si>
    <t>Поставка баков</t>
  </si>
  <si>
    <t>Поставка преобразователей</t>
  </si>
  <si>
    <t>НТЦ РЕГУЛ ООО</t>
  </si>
  <si>
    <t>Поставка жилетов</t>
  </si>
  <si>
    <t>КАЗ/426/жилет от 10.05.2024</t>
  </si>
  <si>
    <t>2226187415091412241009022/жилет от 03.06.2024</t>
  </si>
  <si>
    <t>2225187325911422241000261/жилет спасательный от 22.06.2024</t>
  </si>
  <si>
    <t>№1. Аванс (до базовой даты).(100%, 24г,252)</t>
  </si>
  <si>
    <t>ОАО "ВЗЭП"</t>
  </si>
  <si>
    <t>Поставка шунта ША-540</t>
  </si>
  <si>
    <t>7/3-246/2004к/429 от 10.04.2024</t>
  </si>
  <si>
    <t>7/3-303/2248к/429 от 06.05.2024</t>
  </si>
  <si>
    <t>КАЗ/429/шунт от 01.01.2024</t>
  </si>
  <si>
    <t>2224187315101412241211123/429/25год/шунт от 01.01.2024</t>
  </si>
  <si>
    <t>Поставка Шунт,  Вольтамперметра ВА-540,Термометра универсального электрического</t>
  </si>
  <si>
    <t>ОАО "Пеленг"</t>
  </si>
  <si>
    <t>2226187415091412241009022/2148к/429 от 08.04.2024</t>
  </si>
  <si>
    <t>Аванс - Этап №1 (50%,25г,180м)</t>
  </si>
  <si>
    <t>Поставка прицела наводчика ПНМ</t>
  </si>
  <si>
    <t>2224187315101412241211123/2846к/429 от 25.06.2024</t>
  </si>
  <si>
    <t>Поставка Изделия БО7К1,БО7К2</t>
  </si>
  <si>
    <t>КАЗ/429/прицелы наводчика от 01.01.2024</t>
  </si>
  <si>
    <t>ОАО КАЗАНСКИЙ ЗАВОД "ЭЛЕКТРОПРИБОР"</t>
  </si>
  <si>
    <t>2225187325911422241000261/904/5553к/429 от 01.09.2022</t>
  </si>
  <si>
    <t>Поставка колодки соединительной К-82</t>
  </si>
  <si>
    <t>2226187415091412241009022/904/6583к/429 от 24.11.2022</t>
  </si>
  <si>
    <t>Поставка датчика температуры термоэлектрического Т-101М 6Ю2.821.188 ТУ</t>
  </si>
  <si>
    <t>Аванс - Этап №3 (100%,25г,180м)</t>
  </si>
  <si>
    <t>Аванс - Этап №1 (100%,24/25г,15/15м)</t>
  </si>
  <si>
    <t>КАЗ/429/датчик температуры от 01.01.2024</t>
  </si>
  <si>
    <t>Поставка датчика температуры термоэлектрического</t>
  </si>
  <si>
    <t>Поставка жидкости охлаждающей низкозамерзающей Марка-65</t>
  </si>
  <si>
    <t>КАЗ/427/Жидкость Тосол-А40М,жидкость охл. от 04.05.2024</t>
  </si>
  <si>
    <t>№1. Аванс (до базовой даты).(80%,25г.31м.)</t>
  </si>
  <si>
    <t>Поставка охлаждающей жидкости</t>
  </si>
  <si>
    <t>ОБЪЕДИНЕНИЕ АЛЬФАПЛАСТИК ООО</t>
  </si>
  <si>
    <t>2224187315101412241211123/грелка от 18.07.2024</t>
  </si>
  <si>
    <t>поставка грелок</t>
  </si>
  <si>
    <t>ОБЪЕДИНЕНИЕ РОДИНА ООО</t>
  </si>
  <si>
    <t>Поставка клапана электромагнитного КЭТ 01</t>
  </si>
  <si>
    <t>2224187315101412241211123/ОР-98/23/5346к/429 от 02.11.2023</t>
  </si>
  <si>
    <t>КАЗ/429/КЭТ01 от 01.01.2024</t>
  </si>
  <si>
    <t>2226187415091412241009022/429/25год/КЭТ 01 от 01.01.2024</t>
  </si>
  <si>
    <t>ОК-ЛОЗА ОАО</t>
  </si>
  <si>
    <t>Подшипник по ЕТУ 500 153м ОАО "ОК-Лоза" от 27.06.2024</t>
  </si>
  <si>
    <t>№1. Аванс (до базовой даты).(80%,25г.153ед.)</t>
  </si>
  <si>
    <t>КАЗ/427/Подш.по ЕТУ 500 ОАО "ОК-Лоза" от 06.05.2024</t>
  </si>
  <si>
    <t>№1. Аванс (до базовой даты).(80%,24г.31м.)</t>
  </si>
  <si>
    <t>ОКБ КП АО</t>
  </si>
  <si>
    <t>2325187912351422241015207/678/2703к/426 от 14.05.2024</t>
  </si>
  <si>
    <t>КАЗ/426/провода от 10.05.2024</t>
  </si>
  <si>
    <t>2226187415091412241009022/провода БС МС от 03.06.2024</t>
  </si>
  <si>
    <t>№1. Аванс (до базовой даты).(80%,24г.180м)</t>
  </si>
  <si>
    <t>ОКБ КРИСТАЛЛ АО</t>
  </si>
  <si>
    <t>Аванс - Этап №1 (80%,25г,15м)</t>
  </si>
  <si>
    <t>ПГ/12/22/752к/429 в ред. ДС3 от 24.11.2021 (ПГ/12/22/005-25 от 20.03.2024)</t>
  </si>
  <si>
    <t>Аванс - Этап №1 (до80%,25г,89м)</t>
  </si>
  <si>
    <t>ПГ/12/22/752к/429 в ред. ДС3 от 24.11.2021 (ПГ/12/22/004-25 от 20.03.2024)</t>
  </si>
  <si>
    <t>ПГ/12/22/752к/429 в ред. ДС3 от 24.11.2021 (ПГ/12/22/007-25 от 02.03.2022)</t>
  </si>
  <si>
    <t>ПГ/12/22/752к/429 в ред. ДС3 от 24.11.2021 (2226187415091412241009022/ПГ/12/22/003-25 от 30.06.2023)</t>
  </si>
  <si>
    <t>ПГ/12/22/752к/429 в ред. ДС3 от 24.11.2021 (ПГ/12/22/002-25 от 30.06.2023)</t>
  </si>
  <si>
    <t>КАЗ/429/ТГП-1 от 01.01.2024</t>
  </si>
  <si>
    <t>ОМСКТРАНСМАШ АО</t>
  </si>
  <si>
    <t>2224187315101412241211123/2534к/429/13609/336/22 от 30.06.2022</t>
  </si>
  <si>
    <t>Поставка гусениц 172.55.010сб-2 с ЗИП</t>
  </si>
  <si>
    <t>Аванс - Этап №6 (до80%,25г,30м)</t>
  </si>
  <si>
    <t>2226187415091412241009022/4793к/429/14194/336/22 от 17.10.2022</t>
  </si>
  <si>
    <t>Поставка гусениц с ЗИП</t>
  </si>
  <si>
    <t>2225187325911422241000261/4941к/429/14212/336/22 от 19.10.2022</t>
  </si>
  <si>
    <t>2325187912341422241000262/5247к/429/15921/336/23 от 06.12.2023</t>
  </si>
  <si>
    <t>Аванс - Этап №4 (до80%,25г,20м)</t>
  </si>
  <si>
    <t>2426187915321412241236382/2305к/429/16699/336/24 в ред. ДС1 от 25.06.2024</t>
  </si>
  <si>
    <t xml:space="preserve"> Аванс - Этап №1 (80%,25%,31м).</t>
  </si>
  <si>
    <t>ООО "Ванполимэд"</t>
  </si>
  <si>
    <t>КАЗ/426/жидкая уплотнительная прокладка от 10.05.2024</t>
  </si>
  <si>
    <t>поставка прокладки уплотнительной</t>
  </si>
  <si>
    <t>2226187415091412241009022/прокладка ГИПК от 03.06.2024</t>
  </si>
  <si>
    <t>Поставка прокладок ГИПК-244</t>
  </si>
  <si>
    <t>2225187325911422241000261/прокладка жидкая от 24.06.2024</t>
  </si>
  <si>
    <t>поставка эмали ПФ-115</t>
  </si>
  <si>
    <t>поставка пленки защитной</t>
  </si>
  <si>
    <t>ОСВАР ПАО</t>
  </si>
  <si>
    <t>Поставка фар ФГ125, ФГ126, ФГ127</t>
  </si>
  <si>
    <t>Поставка фар ФГ</t>
  </si>
  <si>
    <t>Аванс - Этап №2 (100%,25г,30м)</t>
  </si>
  <si>
    <t>2226187415091412241009022/1817к/429 от 12.04.2024</t>
  </si>
  <si>
    <t>КАЗ/429/фары ФГ от 01.01.2024</t>
  </si>
  <si>
    <t>2225187325911422241000261/429/новый/фары от 01.01.2024</t>
  </si>
  <si>
    <t>ОСТ ООО</t>
  </si>
  <si>
    <t>поставка кейс калибра</t>
  </si>
  <si>
    <t>КАЗ/426/кейс калибр от 10.05.2024</t>
  </si>
  <si>
    <t>2226187415091412241009022/426/защитный кейс Калибр от 03.06.2024</t>
  </si>
  <si>
    <t>Поставка защитного кейса КАЛИБР 1010</t>
  </si>
  <si>
    <t>ПАЗ АО</t>
  </si>
  <si>
    <t>поставка клапана 15с13бк1</t>
  </si>
  <si>
    <t>2226187415091412241009022/1360к/429 от 19.04.2024</t>
  </si>
  <si>
    <t>2225187325911422241000261/476/05/2243к/429 от 22.05.2024</t>
  </si>
  <si>
    <t>Аванс - Этап №1 (50%,25г,15м)</t>
  </si>
  <si>
    <t>2325187912341422241000262/480/05/2483к/429 от 23.05.2024</t>
  </si>
  <si>
    <t>2426187915321412241236382/494/07/3198к/429 от 25.07.2024</t>
  </si>
  <si>
    <t>ПАО КМЗ</t>
  </si>
  <si>
    <t>2225187325911422241000261/376/4-22/4879к/429 от 19.10.2022</t>
  </si>
  <si>
    <t>Поставка УВВ БЛ4.038.005</t>
  </si>
  <si>
    <t>Аванс - Этап №5 (80%,25г,153м)</t>
  </si>
  <si>
    <t>2225187325911422241000261/376/3-22/4892к/429 от 19.10.2022</t>
  </si>
  <si>
    <t>Услуга по капитальному ремонту изделий ТПДК-К</t>
  </si>
  <si>
    <t>2226187415091412241009022/376/13-22/5186к/429 от 26.10.2022</t>
  </si>
  <si>
    <t>2325187912341422241000262/376/19-23/5191к/429 от 01.12.2023</t>
  </si>
  <si>
    <t>Услуга по капитальному ремонту ТПДК-К 1А40(1А40-1) с модернизацией до уровня 1А40-4 БЛ1.335.138</t>
  </si>
  <si>
    <t>2325187912341422241000262/376/20-23/5199к/429 от 01.12.2023</t>
  </si>
  <si>
    <t>Аванс - Этап №2 (до65%,25г,20м)</t>
  </si>
  <si>
    <t>КАЗ/429/ТПК от 01.01.2024</t>
  </si>
  <si>
    <t>Поставка ТПК-К БЛ2.056.027-2</t>
  </si>
  <si>
    <t>2224187315101412241211123/429/25год/агат от 01.01.2024</t>
  </si>
  <si>
    <t>ПЕРФОКОМ ООО</t>
  </si>
  <si>
    <t>2226187415091412241009022/2598к/424 от 03.07.2024</t>
  </si>
  <si>
    <t>поставка листов перфорированных</t>
  </si>
  <si>
    <t>ПК ПРУЖИННЫЙ ПРОЕКТ ООО</t>
  </si>
  <si>
    <t>Поставка пружин</t>
  </si>
  <si>
    <t>2226187415091412241009022/23856/3008к/427 от 08.08.2024 (Спецификация 2 от 31.07.2024 дог.2226187415091412241009022/23856/3008к/427 от 08.08.2024)</t>
  </si>
  <si>
    <t>ПКФ НЕФТЕХИМИК ООО</t>
  </si>
  <si>
    <t>2226187415091412241009022/растворитель от 04.06.2024</t>
  </si>
  <si>
    <t>ПЛАНЕТА-СИД АО</t>
  </si>
  <si>
    <t>2226187415091412241009022/314/1385к/429 от 27.03.2024</t>
  </si>
  <si>
    <t>Аванс - Этап №1 (100%,25г,10/81/89)</t>
  </si>
  <si>
    <t>Поставка индикатора КИПД 103 2 МАК24</t>
  </si>
  <si>
    <t>Поставка индикатора КИПД 103 2 МАК-24</t>
  </si>
  <si>
    <t>635 от 12.07.2024</t>
  </si>
  <si>
    <t>ПЛЕНКИ ОНЛАЙН ООО</t>
  </si>
  <si>
    <t>КАЗ/427/Лента малярная от 02.05.2024</t>
  </si>
  <si>
    <t>Поставка ленты малярной</t>
  </si>
  <si>
    <t>ПНТЗ АО</t>
  </si>
  <si>
    <t>поставка труб и баллонов</t>
  </si>
  <si>
    <t>6382/424/4 от 23.07.2024</t>
  </si>
  <si>
    <t>ПОВОЛЖСКИЙ ПОДШИПНИКОВЫЙ ЗАВОД ООО</t>
  </si>
  <si>
    <t>КАЗ/427/Подш.по ЕТУ 500 ООО "ППЗ" от 06.05.2024</t>
  </si>
  <si>
    <t>Подшипники по ЕТУ 500/180м ООО "ППЗ" от 28.05.2024</t>
  </si>
  <si>
    <t>поставка пресс-материала</t>
  </si>
  <si>
    <t>ПОЛИМЕРСЕРВИС ООО</t>
  </si>
  <si>
    <t>2225187325911422241000261/пресс-материал от 24.06.2024</t>
  </si>
  <si>
    <t>поставка полиамида</t>
  </si>
  <si>
    <t>ППЗ ООО</t>
  </si>
  <si>
    <t>Подшипники по ЕТУ 500 208м ООО "ППЗ" от 28.06.2024</t>
  </si>
  <si>
    <t>№1. Аванс (до базовой даты).(100%,25г.208ед.)</t>
  </si>
  <si>
    <t>Подшипники по ЕТУ 500 ООО "ППЗ" 30м от 08.07.2024</t>
  </si>
  <si>
    <t>поставка дели рыболовной веревочной</t>
  </si>
  <si>
    <t>Поставка замазки ЗЗК-ЗУ</t>
  </si>
  <si>
    <t>Поставка смазки циатим-203</t>
  </si>
  <si>
    <t>поставка картона</t>
  </si>
  <si>
    <t>поставка картона электроизоляционного</t>
  </si>
  <si>
    <t>ПРОМХИМТЕХНОЛОГИЯ ООО НПО</t>
  </si>
  <si>
    <t>поставка лент ПВХ</t>
  </si>
  <si>
    <t>поставка ленты ПВХ 15х0,2</t>
  </si>
  <si>
    <t>2226187415091412241009022/лента ПВХ от 03.06.2024</t>
  </si>
  <si>
    <t>2225187325911422241000261/лента ПВХ от 24.06.2024</t>
  </si>
  <si>
    <t>2224187315101412241211123/лента ПВХ от 05.07.2024</t>
  </si>
  <si>
    <t>ПРОМЭКС ООО</t>
  </si>
  <si>
    <t>2226187415091412241009022/детали войлочные от 03.06.2024</t>
  </si>
  <si>
    <t>КАЗ/426/пластины войлочные от 10.05.2024</t>
  </si>
  <si>
    <t>КАЗ/426/детали войлочные от 10.05.2024</t>
  </si>
  <si>
    <t>2226187415091412241009022/пластины войлочные от 03.06.2024</t>
  </si>
  <si>
    <t>ПРОФИ ООО</t>
  </si>
  <si>
    <t>Поставка смазки DR-40</t>
  </si>
  <si>
    <t>2233к/427 от 19.06.2024 (2225187325911422241000261/1 от 19.06.2024)</t>
  </si>
  <si>
    <t>№1. Аванс (до базовой даты).(100%,25г.252ед.)</t>
  </si>
  <si>
    <t>2233к/427 от 19.06.2024 (2226187415091412241009022/4 от 19.06.2024)</t>
  </si>
  <si>
    <t>РИАТ ООО</t>
  </si>
  <si>
    <t>поставка набивки для подушек</t>
  </si>
  <si>
    <t>2226187415091412241009022/2877к/426 от 30.07.2024</t>
  </si>
  <si>
    <t>№1. Аванс (до базовой даты).(80%,24г,180м</t>
  </si>
  <si>
    <t>РИФ АО</t>
  </si>
  <si>
    <t>2224187315101412241211123/429/25год/блоки от 01.01.2024</t>
  </si>
  <si>
    <t>Поставка блоков обработки телевизионного изображения</t>
  </si>
  <si>
    <t>РОМЗ ПАО</t>
  </si>
  <si>
    <t>2225187325911422241000261/431/516/2022/4674к/429 от 01.09.2022</t>
  </si>
  <si>
    <t>Поставка Датчика положения пушки АДШ 2.320.003 ТУ,Блока защиты БЛ4.811.004 с ЗИП</t>
  </si>
  <si>
    <t>2325187912341422241000262/431/100/2024/937к/429 от 30.01.2024</t>
  </si>
  <si>
    <t>поставка потенциометра косинусного БЛ4.685.014,датчика положения</t>
  </si>
  <si>
    <t>2226187415091412241009022/431/528/2024/1927к/429 от 10.04.2024</t>
  </si>
  <si>
    <t>Поставка датчика положения, блока защиты с ЗИП</t>
  </si>
  <si>
    <t>2226187415091412241009022/431/529/2024/1931к/429 от 10.04.2024</t>
  </si>
  <si>
    <t>2226187415091412241009022/431/527/2024/1946к/429 от 10.04.2024</t>
  </si>
  <si>
    <t>2225187325911422241000261/431/540/2024/2037к/429 от 10.04.2024</t>
  </si>
  <si>
    <t>Поставка датчика положения, потенциометра косинусного</t>
  </si>
  <si>
    <t>КАЗ/429/датчик положения от 01.01.2024</t>
  </si>
  <si>
    <t>поставка сварочного одеяла</t>
  </si>
  <si>
    <t>РРЗ - РУСАУДИО АО</t>
  </si>
  <si>
    <t>Поставка радиосредств</t>
  </si>
  <si>
    <t>2226187415091412241009022/260/2023/5666к/429 от 18.09.2023</t>
  </si>
  <si>
    <t>Аванс - Этап №3 (до80%,25г,10м)</t>
  </si>
  <si>
    <t>2225187325911422241000261/98/2024/2328к/429 от 05.04.2024</t>
  </si>
  <si>
    <t>Аванс - Этап №1 (50%,25г,77м)</t>
  </si>
  <si>
    <t>Поставка антенны Р-168БШДА,блока фильтров Р-168</t>
  </si>
  <si>
    <t>2224187315101412241211123/99/2024/2433к/429 от 05.04.2024</t>
  </si>
  <si>
    <t>РТИ ПРОГРЕСС OOO</t>
  </si>
  <si>
    <t>КАЗ/426/рукав от 10.05.2024</t>
  </si>
  <si>
    <t>2226187415091412241009022/рукава от 03.06.2024</t>
  </si>
  <si>
    <t>РУСПОЛИМЕТ АО</t>
  </si>
  <si>
    <t>2224187315101412241211123/2772к/424/33-09/1419/24 от 25.07.2024</t>
  </si>
  <si>
    <t>2226187415091412241009022/33-09/0883/24/2610к/424 от 15.07.2024</t>
  </si>
  <si>
    <t>поставка кольцевой заготовки ДЕ-16БН</t>
  </si>
  <si>
    <t>6382/424/3 от 23.07.2024</t>
  </si>
  <si>
    <t>поставка фанеры</t>
  </si>
  <si>
    <t>РЯЗАНСКИЙ РАДИОЗАВОД АО</t>
  </si>
  <si>
    <t>2225187325911422241000261/487/653/4621к/429 от 13.09.2023</t>
  </si>
  <si>
    <t>Аванс - Этап №3 (80%,25г,76м) (часть в 2369к))</t>
  </si>
  <si>
    <t>2225187325911422241000261/429/новый радиостанц от 01.01.2024</t>
  </si>
  <si>
    <t>Аванс - Этап №1 (80%,25г,77м) (часть в 4621к)</t>
  </si>
  <si>
    <t>Поставка радиостанции Р-168-25У-2</t>
  </si>
  <si>
    <t>2224187315101412241211123/429/25год/АВСКУ от 01.01.2024</t>
  </si>
  <si>
    <t>поставка пленки п/эт</t>
  </si>
  <si>
    <t>СЕВЕРНАЯ ЗАРЯ АО НПК</t>
  </si>
  <si>
    <t>2224187315101412241211123/173-2270-07СЗ-А/6506к/429 в ред. ДС1 от 17.11.2022</t>
  </si>
  <si>
    <t>поставка реле</t>
  </si>
  <si>
    <t>Аванс - Этап №3 (80%,25г,30м)</t>
  </si>
  <si>
    <t>2225187325911422241000261/643/2000-24100406/2469к/424 от 13.06.2024</t>
  </si>
  <si>
    <t>СИГНАЛ ООО ЭПО</t>
  </si>
  <si>
    <t>Поставка штепселя прямого лепесткового ШПЛМ-2</t>
  </si>
  <si>
    <t>2225187325911422241000261/00281/2105к/429 от 27.04.2024</t>
  </si>
  <si>
    <t>Аванс - Этап №1 (60%,25г,СЗ)</t>
  </si>
  <si>
    <t>0261-25-ПРиР</t>
  </si>
  <si>
    <t>2225187325911422241000261/00295/2177к/429 от 03.05.2024</t>
  </si>
  <si>
    <t>Аванс - Этап №1 (60%,25г,55/197/134м)</t>
  </si>
  <si>
    <t>СИГНАЛ ПАО ПЗ</t>
  </si>
  <si>
    <t>Поставка приборного комплекса</t>
  </si>
  <si>
    <t>2225187325911422241000261/47-24/521-22/4765к/429 от 29.08.2022</t>
  </si>
  <si>
    <t>Поставка приборного комплекса ПКУЗ-1А</t>
  </si>
  <si>
    <t>Аванс - Этап №3 (до20%,25г,55м)</t>
  </si>
  <si>
    <t>2325187912341422241000262/47-24/808-23/141к/429 от 27.11.2023</t>
  </si>
  <si>
    <t>2224187315101412241211123/47-24/113-24/1345к/429 от 13.03.2024</t>
  </si>
  <si>
    <t>2226187415091412241009022/47-24/111-24/1348к/429 от 13.03.2024</t>
  </si>
  <si>
    <t>2225187325911422241000261/47-24/114-24/1432к/429 от 13.03.2024</t>
  </si>
  <si>
    <t>КАЗ/429/приборный комплекс от 01.01.2024</t>
  </si>
  <si>
    <t>Поставка жидкости 132-316</t>
  </si>
  <si>
    <t>СКТБ РТ АО</t>
  </si>
  <si>
    <t>2224187315101412241211123/429/25год/реле// от 01.01.2024</t>
  </si>
  <si>
    <t>Поставка реле РЭК87В, реле РЭК87,коробки упаковочной</t>
  </si>
  <si>
    <t>СМЗ ОАО</t>
  </si>
  <si>
    <t>2225187325911422241000261/1929к/424 от 31.05.2024</t>
  </si>
  <si>
    <t>№1. Аванс (100%,24г,383 маш.).</t>
  </si>
  <si>
    <t>поставка магния МГ90</t>
  </si>
  <si>
    <t>СМОЛЕНСКИЙ ЗАВОД РАДИОДЕТАЛЕЙ ОАО</t>
  </si>
  <si>
    <t>2225187325911422241000261/2137-ОР/6544к/429 от 25.11.2022</t>
  </si>
  <si>
    <t>Аванс - Этап №6 (100%,25г,77м)</t>
  </si>
  <si>
    <t>2325187912341422241000262/2137/02/2023/ГК-ОР от 17.10.2023</t>
  </si>
  <si>
    <t>2224187315101412241211123/2137А от 13.05.2024</t>
  </si>
  <si>
    <t>КАЗ/429/кнопки///микропереключатели от 01.01.2024</t>
  </si>
  <si>
    <t>2226187415091412241009022/429/25год/электроизд. от 01.01.2024</t>
  </si>
  <si>
    <t>СНАБИНВЕСТ ООО</t>
  </si>
  <si>
    <t>поставка фенопласта</t>
  </si>
  <si>
    <t>2225187325911422241000261/фенопласт от 25.06.2024</t>
  </si>
  <si>
    <t>СОАТЭ АО</t>
  </si>
  <si>
    <t>Поставка розетки бортовой сети автомобиля 3106.3715-10</t>
  </si>
  <si>
    <t>2226187415091412241009022/537/1448к/429 от 05.04.2024</t>
  </si>
  <si>
    <t>Поставка розетки бортовой сети</t>
  </si>
  <si>
    <t>2225187325911422241000261/541/2024к/429 от 02.05.2024</t>
  </si>
  <si>
    <t>КАЗ/429/РС 335 от 01.01.2024</t>
  </si>
  <si>
    <t>Поставка насоса топливного электрического</t>
  </si>
  <si>
    <t>КАЗ/429/розетка борт.сети от 01.01.2024</t>
  </si>
  <si>
    <t>2226187415091412241009022/429/25год/РС335 от 01.01.2024</t>
  </si>
  <si>
    <t>Поставка Электромагнита РС335,насоса топливного</t>
  </si>
  <si>
    <t>Поставка топлива для реактивных двигателей ТС-1</t>
  </si>
  <si>
    <t>СПАРК ООО</t>
  </si>
  <si>
    <t>2226187415091412241009022/1969к/424 от 03.06.2024</t>
  </si>
  <si>
    <t>СПЗ АО</t>
  </si>
  <si>
    <t>2225187325911422241000261/382/4590к/429 от 26.08.2022</t>
  </si>
  <si>
    <t>2325187912341422241000262/540/5511к/429 от 19.10.2023</t>
  </si>
  <si>
    <t>Поставка сигнализатора давления СД, датчика Д-4, приемников давления</t>
  </si>
  <si>
    <t>КАЗ/429/датчик наличия воды от 01.01.2024</t>
  </si>
  <si>
    <t>Поставка датчика наличия воды</t>
  </si>
  <si>
    <t>КАЗ/429/сигнализатор СД от 01.01.2024</t>
  </si>
  <si>
    <t>поставка сигнализатора давления СД</t>
  </si>
  <si>
    <t>2226187415091412241009022/429/25год/датчик нал.вод от 01.01.2024</t>
  </si>
  <si>
    <t>Поставка датчика наличия воды 11.3845020</t>
  </si>
  <si>
    <t>2226187415091412241009022/429/25год/сигнализ.СД от 01.01.2024</t>
  </si>
  <si>
    <t>Поставка Парафина нефтяного Т-2</t>
  </si>
  <si>
    <t>СТАРТ АО</t>
  </si>
  <si>
    <t>2225187325911422241000261/клей от 22.06.2024</t>
  </si>
  <si>
    <t>2224187315101412241211123/клей от 12.07.2024</t>
  </si>
  <si>
    <t>СЭГЗ АО</t>
  </si>
  <si>
    <t>Поставка преобразователя ПАГ-1Ф</t>
  </si>
  <si>
    <t>2225187325911422241000261/46/5433к/429 от 05.09.2022</t>
  </si>
  <si>
    <t>2225187325911422241000261/46/5433к/429 от 05.09.2022 (доп.закупка 2225187325911422241000261/429/новый/преобраз. от 01.01.2024)</t>
  </si>
  <si>
    <t>2325187912341422241000262/46/199к/429 от 23.11.2023</t>
  </si>
  <si>
    <t>поставка преобразователя</t>
  </si>
  <si>
    <t>Аванс- Этап №2(100%,25г,20м)</t>
  </si>
  <si>
    <t>2224187315101412241211123/46/2548к/429 от 21.05.2024</t>
  </si>
  <si>
    <t>СЭЗ ИМ. СЕРГО ОРДЖОНИКИДЗЕ ПАО</t>
  </si>
  <si>
    <t>Поставка гирополукомпаса электрического ГПК-59</t>
  </si>
  <si>
    <t>2225187325911422241000261/412/22/4691к/429 от 31.08.2022</t>
  </si>
  <si>
    <t>2325187912341422241000262/121/24/1734к/429 от 28.03.2024</t>
  </si>
  <si>
    <t>Поставка ГПК-59</t>
  </si>
  <si>
    <t>2224187315101412241211123/256/24/2451к/429 от 28.05.2024</t>
  </si>
  <si>
    <t>Поставка сигнализатора давления  СД,Тахометра  ТЭ-4В,Датчика Д-4,Индикатора давления  ИД</t>
  </si>
  <si>
    <t>СЭПО-ЗЭМ ООО</t>
  </si>
  <si>
    <t>Поставка электровентилятора ДВ-3, клапана электровоздушного ЭК-48, клапана электромагнитного МКТ-17Б</t>
  </si>
  <si>
    <t>2225187325911422241000261/70/50/6041к/429 от 26.09.2022</t>
  </si>
  <si>
    <t>Аванс - Этап №3 (70%,25г,55м)</t>
  </si>
  <si>
    <t>2225187325911422241000261/70/50/6041к/429 от 26.09.2022 (доп.закупка 2225187325911422241000261/70/50/6041к/429 от 01.01.2024)</t>
  </si>
  <si>
    <t>Аванс - Этап №2 (70%,25г,153м)</t>
  </si>
  <si>
    <t>2325187912341422241000262/70/74/5422к/429 от 10.11.2023</t>
  </si>
  <si>
    <t>КАЗ/429/ДВ-3 вентилятор от 01.01.2024</t>
  </si>
  <si>
    <t>Поставка вентилятора с электродвигателем ДВ-3</t>
  </si>
  <si>
    <t>2226187415091412241009022/429/25год/ДВ-3 от 01.01.2024</t>
  </si>
  <si>
    <t>Поставка вентилятора с электродвигателем ДВ-3,эл. клапана МКТ-17Б</t>
  </si>
  <si>
    <t>2224187315101412241211123/429/25год/ДВ-3 от 01.01.2024</t>
  </si>
  <si>
    <t>ТД БАК ООО</t>
  </si>
  <si>
    <t>КАЗ/429/кранПС7 от 01.01.2024</t>
  </si>
  <si>
    <t>Поставка крана ПС7-0</t>
  </si>
  <si>
    <t>ТД ЕКАТЕРИНБУРГ ООО</t>
  </si>
  <si>
    <t>2224187315101412241211123/полотно холстопрошивное от 17.07.2024</t>
  </si>
  <si>
    <t>2224187315101412241211123/миткаль суровый от 17.07.2024</t>
  </si>
  <si>
    <t>ТД ЕПК ООО</t>
  </si>
  <si>
    <t>Подшипники по ЕТУ 500 208м ООО "ТД ЕПК" от 28.06.2024</t>
  </si>
  <si>
    <t>КАЗ/427/Подш.по ЕТУ 500 ООО "ТД ЕПК" от 06.05.2024</t>
  </si>
  <si>
    <t>Подшипники по ЕТУ-500/180м ООО "ТД ЕПК" от 28.05.2024</t>
  </si>
  <si>
    <t>Подшипники по ЕТУ 500 ООО "ТД ЕПК" 30м от 08.07.2024</t>
  </si>
  <si>
    <t>ТД ИЛЛИОН ООО</t>
  </si>
  <si>
    <t>2325187912351422241015207/2675к/426 от 18.07.2024</t>
  </si>
  <si>
    <t>2224187315101412241211123/кпп от 15.07.2024</t>
  </si>
  <si>
    <t>ТД КОРПОРАЦИЯ ВСМПО-АВИСМА ООО</t>
  </si>
  <si>
    <t>поставка поковок штампованных</t>
  </si>
  <si>
    <t>2325187912341422241000262/ТД64341863ASZ/1к/429 от 05.12.2023</t>
  </si>
  <si>
    <t>Аванс - Этап №1 (80%,24/25г,31/20м)</t>
  </si>
  <si>
    <t>КАЗ/429/поковка АК-23 от 01.01.2024</t>
  </si>
  <si>
    <t>2224187315101412241211123/429/25год/поковка от 01.01.2024</t>
  </si>
  <si>
    <t>ТД ЭНЕРГОСЕРВИС ООО</t>
  </si>
  <si>
    <t>КАЗ/426/плетенка ПМЛ от 10.05.2024</t>
  </si>
  <si>
    <t>2226187415091412241009022/плетёнка ПМЛ от 03.06.2024</t>
  </si>
  <si>
    <t>2225187325911422241000261/плетенка ПМЛ от 22.06.2024</t>
  </si>
  <si>
    <t>ТЕКО АО НПК</t>
  </si>
  <si>
    <t>Поставка датчика уровня охлаждающей жидкости ВТИЮ</t>
  </si>
  <si>
    <t>2226187415091412241009022/707Т/22/ВП/5976к/429 от 10.10.2022 (доп.закупка 2226187415091412241009022/707Т/22/ВП/5976к/429/25год от 01.01.2024)</t>
  </si>
  <si>
    <t>КАЗ/429/датчик ур.охл.жид. от 01.01.2024</t>
  </si>
  <si>
    <t>ТЕКОМ ООО</t>
  </si>
  <si>
    <t>КАЗ/429/фильтрАР-20 от 01.01.2024</t>
  </si>
  <si>
    <t>Поставка фильтра АР-20</t>
  </si>
  <si>
    <t>Поставка фильтра АР20-1112145</t>
  </si>
  <si>
    <t>ТЕПЛОКОНТРОЛЬ АО</t>
  </si>
  <si>
    <t>2224187315101412241211123/8261-35/5ВП/2583к/429 от 12.05.2022</t>
  </si>
  <si>
    <t>Поставка манометра МТ-60УП 250/170ВП</t>
  </si>
  <si>
    <t>Аванс - Этап №3 (100%,25г,30м)</t>
  </si>
  <si>
    <t>2226187415091412241009022/8261-2/2/4389к/429 от 16.08.2022 (доп.закупка 2226187415091412241009022/8261-2/2/4389к/429/25год от 01.01.2024)</t>
  </si>
  <si>
    <t>5207-24-25-15+15</t>
  </si>
  <si>
    <t>2225187325911422241000261/8261-2/15ВП/2340к/429 от 29.05.2024</t>
  </si>
  <si>
    <t>Поставка манометров МТ-60УП 250/170</t>
  </si>
  <si>
    <t>КАЗ/429/манометр от 01.01.2024</t>
  </si>
  <si>
    <t>Технический контрагент</t>
  </si>
  <si>
    <t>0261/424/28 от 22.07.2024</t>
  </si>
  <si>
    <t>поставка труб из углеродистой стали и баллонов</t>
  </si>
  <si>
    <t>поставка труб бесшовных горячедеформированных</t>
  </si>
  <si>
    <t>поставка труб из коррозионностойкой стали</t>
  </si>
  <si>
    <t>9022/424/32 от 22.07.2024</t>
  </si>
  <si>
    <t>0261/424/13 от 23.06.2024</t>
  </si>
  <si>
    <t>поставка цинкового проката</t>
  </si>
  <si>
    <t>0261/424/11 от 23.06.2024</t>
  </si>
  <si>
    <t>поставка латунного, медного, бронзового проката</t>
  </si>
  <si>
    <t>9022/424/42 от 05.08.2024</t>
  </si>
  <si>
    <t>поставка цинка в чушках</t>
  </si>
  <si>
    <t>0261/424/15 от 23.06.2024</t>
  </si>
  <si>
    <t>поставка латунных сеток</t>
  </si>
  <si>
    <t>0261/424/8 от 23.06.2024</t>
  </si>
  <si>
    <t>поставка проволоки нержавеющей</t>
  </si>
  <si>
    <t>0261/424/25 от 23.06.2024</t>
  </si>
  <si>
    <t>1123/424/3 от 05.07.2024</t>
  </si>
  <si>
    <t>9022/424/12 от 12.05.2024</t>
  </si>
  <si>
    <t>поставка алюминиевого проката</t>
  </si>
  <si>
    <t>9022/424/13 от 12.05.2024</t>
  </si>
  <si>
    <t>9022/424/14 от 12.05.2024</t>
  </si>
  <si>
    <t>КАЗ/426/фенопласт от 10.05.2024</t>
  </si>
  <si>
    <t>КАЗ/426/лакоткань от 10.05.2024</t>
  </si>
  <si>
    <t>КАЗ/426/лента ПВХ от 10.05.2024</t>
  </si>
  <si>
    <t>№1. Аванс (до базовой даты).(80%,24г, 31м)</t>
  </si>
  <si>
    <t>КАЗ/426/лента ЛЭТСАР от 10.05.2024</t>
  </si>
  <si>
    <t>поставка ленты ЛЭТСАР КП-0,2</t>
  </si>
  <si>
    <t>КАЗ/426/фенопласт 03 от 10.05.2024</t>
  </si>
  <si>
    <t>КАЗ/426/армлен от 10.05.2024</t>
  </si>
  <si>
    <t>поставка Армлена</t>
  </si>
  <si>
    <t>КАЗ/426/пресс-материал ДСВ от 10.05.2024</t>
  </si>
  <si>
    <t>№1. Аванс (до базовой даты).(80%,24г,31М)</t>
  </si>
  <si>
    <t>КАЗ/426/пенополиуретан от 10.05.2024</t>
  </si>
  <si>
    <t>КАЗ/426/пенополиуретан ППУ-355 от 10.05.2024</t>
  </si>
  <si>
    <t>КАЗ/426/полиэтилен от 10.05.2024</t>
  </si>
  <si>
    <t>поставка полиэтилена</t>
  </si>
  <si>
    <t>КАЗ/426/полиамид от 10.05.2024</t>
  </si>
  <si>
    <t>КАЗ/426/слюда от 10.05.2024</t>
  </si>
  <si>
    <t>КАЗ/426/пленка п/эт от 10.05.2024</t>
  </si>
  <si>
    <t>КАЗ/426/покрывало сварочное от 10.05.2024</t>
  </si>
  <si>
    <t>КАЗ/426/стекло листовое органическое от 10.05.2024</t>
  </si>
  <si>
    <t>КАЗ/426/стекло листовое органическое СО-133 от 10.05.2024</t>
  </si>
  <si>
    <t>поставка стекла органического листового СО-133 К 6 мм</t>
  </si>
  <si>
    <t>КАЗ/426/трубка 305 от 10.05.2024</t>
  </si>
  <si>
    <t>КАЗ/426/трубка Ф-4 от 10.05.2024</t>
  </si>
  <si>
    <t>КАЗ/426/лента ФУМ от 10.05.2024</t>
  </si>
  <si>
    <t>поставка ленты ФУМ</t>
  </si>
  <si>
    <t>КАЗ/426/кольцо сальника кардана от 10.05.2024</t>
  </si>
  <si>
    <t>КАЗ/426/диоды от 10.05.2024</t>
  </si>
  <si>
    <t>КАЗ/426/резисторы от 10.05.2024</t>
  </si>
  <si>
    <t>КАЗ/426/провода КПП от 10.05.2024</t>
  </si>
  <si>
    <t>КАЗ/426/кабель радиочастотный от 10.05.2024</t>
  </si>
  <si>
    <t>КАЗ/426/провода ПРС от 10.05.2024</t>
  </si>
  <si>
    <t>КАЗ/426/детали формовые от 10.05.2024</t>
  </si>
  <si>
    <t>Поставка деталей формовых</t>
  </si>
  <si>
    <t>КАЗ/426/ткани от 10.05.2024</t>
  </si>
  <si>
    <t>поставка тканей хлопчатобумажных (миткаля технического, бязи отбельной)</t>
  </si>
  <si>
    <t>КАЗ/426/ткань техническая от 10.05.2024</t>
  </si>
  <si>
    <t>КАЗ/426/ткань авизент от 10.05.2024</t>
  </si>
  <si>
    <t>Поставка ткани Авизент</t>
  </si>
  <si>
    <t>КАЗ/426/батист от 10.05.2024</t>
  </si>
  <si>
    <t>№1. Аванс (до базовой даты).(80%,24г.31м)</t>
  </si>
  <si>
    <t>КАЗ/426/бязь от 10.05.2024</t>
  </si>
  <si>
    <t>КАЗ/426/канат от 10.05.2024</t>
  </si>
  <si>
    <t>КАЗ/426/лента ременная от 10.05.2024</t>
  </si>
  <si>
    <t>поставка ленты ременной</t>
  </si>
  <si>
    <t>КАЗ/426/шнур от 10.05.2024</t>
  </si>
  <si>
    <t>поставка шнура ПА 16-пр</t>
  </si>
  <si>
    <t>КАЗ/426/шпагат ШЛ от 10.05.2024</t>
  </si>
  <si>
    <t>поставка шпагата</t>
  </si>
  <si>
    <t>КАЗ/426/парусина ОП от 10.05.2024</t>
  </si>
  <si>
    <t>КАЗ/426/нитки от 10.05.2024</t>
  </si>
  <si>
    <t>Поставка эмали ХВ-518 защитной</t>
  </si>
  <si>
    <t>КАЗ/426/металлофото от 10.05.2024</t>
  </si>
  <si>
    <t>2226187415091412241009022/лакоткань от 03.06.2024</t>
  </si>
  <si>
    <t>2226187415091412241009022/фенопласт от 03.06.2024</t>
  </si>
  <si>
    <t>2226187415091412241009022/армлен от 03.06.2024</t>
  </si>
  <si>
    <t>2226187415091412241009022/пресс-материал от 03.06.2024</t>
  </si>
  <si>
    <t>2226187415091412241009022/полиамид ПА от 03.06.2024</t>
  </si>
  <si>
    <t>2226187415091412241009022/слюда конденсаторная от 03.06.2024</t>
  </si>
  <si>
    <t>2226187415091412241009022/пленка п/эт от 03.06.2024</t>
  </si>
  <si>
    <t>2226187415091412241009022/стекло листовое от 03.06.2024</t>
  </si>
  <si>
    <t>2226187415091412241009022/текстолит от 03.06.2024</t>
  </si>
  <si>
    <t>2226187415091412241009022/лента ФуМ от 03.06.2024</t>
  </si>
  <si>
    <t>2226187415091412241009022/кольцо сальника кардана от 03.06.2024</t>
  </si>
  <si>
    <t>кольцо сальника кардана</t>
  </si>
  <si>
    <t>2226187415091412241009022/диоды от 03.06.2024</t>
  </si>
  <si>
    <t>2226187415091412241009022/резисторы от 03.06.2024</t>
  </si>
  <si>
    <t>2226187415091412241009022/конденсаторы от 03.06.2024</t>
  </si>
  <si>
    <t>2226187415091412241009022/провода КПП от 03.06.2024</t>
  </si>
  <si>
    <t>2226187415091412241009022/кабель радиочастотный от 03.06.2024</t>
  </si>
  <si>
    <t>2226187415091412241009022/провода ПРС от 03.06.2024</t>
  </si>
  <si>
    <t>2226187415091412241009022/картон хризолитовый от 03.06.2024</t>
  </si>
  <si>
    <t>2226187415091412241009022/пластина от 03.06.2024</t>
  </si>
  <si>
    <t>2226187415091412241009022/детали формовые от 03.06.2024</t>
  </si>
  <si>
    <t>2226187415091412241009022/смесь резиновая от 03.06.2024</t>
  </si>
  <si>
    <t>2226187415091412241009022/ткани от 03.06.2024</t>
  </si>
  <si>
    <t>2226187415091412241009022/ткань Авизент от 03.06.2024</t>
  </si>
  <si>
    <t>2226187415091412241009022/бязьш80 от 03.06.2024</t>
  </si>
  <si>
    <t>2226187415091412241009022/канат от 03.06.2024</t>
  </si>
  <si>
    <t>2226187415091412241009022/лента ременная от 03.06.2024</t>
  </si>
  <si>
    <t>2226187415091412241009022/шнур от 03.06.2024</t>
  </si>
  <si>
    <t>поставка шнура плетеного полиамидного</t>
  </si>
  <si>
    <t>2226187415091412241009022/шпагат ШЛ от 03.06.2024</t>
  </si>
  <si>
    <t>2226187415091412241009022/нитки от 03.06.2024</t>
  </si>
  <si>
    <t>2226187415091412241009022/лак от 04.06.2024</t>
  </si>
  <si>
    <t>Поставка лака защитного</t>
  </si>
  <si>
    <t>2226187415091412241009022/эмаль ХВ от 04.06.2024</t>
  </si>
  <si>
    <t>поставка эмали ХВ-785</t>
  </si>
  <si>
    <t>поставка лака ГФ-95 ГОСТ 8018-70</t>
  </si>
  <si>
    <t>2226187415091412241009022/сиккатив от 04.06.2024</t>
  </si>
  <si>
    <t>поставка сиккатива</t>
  </si>
  <si>
    <t>2226187415091412241009022/грунтовка от 04.06.2024</t>
  </si>
  <si>
    <t>2226187415091412241009022/разбавитель грунтовки от 28.11.2024</t>
  </si>
  <si>
    <t>поставка разбавителя грунтовки</t>
  </si>
  <si>
    <t>2226187415091412241009022/426/ангидрид от 03.06.2024</t>
  </si>
  <si>
    <t>Поставка ангидрида хромового</t>
  </si>
  <si>
    <t>2226187415091412241009022/426/жидкость 132-316 от 03.06.2024</t>
  </si>
  <si>
    <t>2226187415091412241009022/426/конифоль от 03.06.2024</t>
  </si>
  <si>
    <t>Поставка конифоли сосновой</t>
  </si>
  <si>
    <t>2226187415091412241009022/426/карбид// от 03.06.2024</t>
  </si>
  <si>
    <t>Поставка карбида кальция 25/80</t>
  </si>
  <si>
    <t>2226187415091412241009022/426/нитрит от 03.06.2024</t>
  </si>
  <si>
    <t>Поставка нитрита натрия</t>
  </si>
  <si>
    <t>2226187415091412241009022/426/натрий/ от 03.06.2024</t>
  </si>
  <si>
    <t>Поставка натрия</t>
  </si>
  <si>
    <t>2226187415091412241009022/426/натр от 03.06.2024</t>
  </si>
  <si>
    <t>Поставка натра едкого</t>
  </si>
  <si>
    <t>2226187415091412241009022/426/хладон от 03.06.2024</t>
  </si>
  <si>
    <t>Поставка хладона 114В2,13В1</t>
  </si>
  <si>
    <t>2226187415091412241009022/426/пластина/ от 03.06.2024</t>
  </si>
  <si>
    <t>Поставка пластины металлофото</t>
  </si>
  <si>
    <t>2226187415091412241009022/426/бумага от 03.06.2024</t>
  </si>
  <si>
    <t>Поставка бумаги,картона</t>
  </si>
  <si>
    <t>2226187415091412241009022/426/картон от 03.06.2024</t>
  </si>
  <si>
    <t>Потсавка картона электроизоляционного</t>
  </si>
  <si>
    <t>2226187415091412241009022/покрывало сварочное от 18.06.2024</t>
  </si>
  <si>
    <t>2225187325911422241000261/авизент от 22.06.2024</t>
  </si>
  <si>
    <t>2225187325911422241000261/бумага от 22.06.2024</t>
  </si>
  <si>
    <t>Поставка бумаги оберточной</t>
  </si>
  <si>
    <t>2225187325911422241000261/вата от 22.06.2024</t>
  </si>
  <si>
    <t>поставка ваты</t>
  </si>
  <si>
    <t>2225187325911422241000261/дель рыболовная от 22.06.2024</t>
  </si>
  <si>
    <t>2225187325911422241000261/жидкость от 22.06.2024</t>
  </si>
  <si>
    <t>2225187325911422241000261/калий от 22.06.2024</t>
  </si>
  <si>
    <t>2225187325911422241000261/картон электроизоляционн от 22.06.2024</t>
  </si>
  <si>
    <t>2225187325911422241000261/клей от 24.06.2024</t>
  </si>
  <si>
    <t>2225187325911422241000261/кольцо сальника кардана от 24.06.2024</t>
  </si>
  <si>
    <t>2225187325911422241000261/лента ФУМ от 24.06.2024</t>
  </si>
  <si>
    <t>2225187325911422241000261/набивка д/подушек от 24.06.2024</t>
  </si>
  <si>
    <t>2225187325911422241000261/нитки от 24.06.2024</t>
  </si>
  <si>
    <t>2225187325911422241000261/пластина металлофото от 24.06.2024</t>
  </si>
  <si>
    <t>2225187325911422241000261/пленка от 24.06.2024</t>
  </si>
  <si>
    <t>2225187325911422241000261/пленка п/эт от 24.06.2024</t>
  </si>
  <si>
    <t>2225187325911422241000261/покрывало сварочное от 24.06.2024</t>
  </si>
  <si>
    <t>2225187325911422241000261/полиамид от 24.06.2024</t>
  </si>
  <si>
    <t>2225187325911422241000261/эмаль от 25.06.2024</t>
  </si>
  <si>
    <t>2225187325911422241000261/спирт от 25.06.2024</t>
  </si>
  <si>
    <t>2225187325911422241000261/текстолит от 25.06.2024</t>
  </si>
  <si>
    <t>2225187325911422241000261/ткани от 25.06.2024</t>
  </si>
  <si>
    <t>2225187325911422241000261/трубки от 25.06.2024</t>
  </si>
  <si>
    <t>2225187325911422241000261/трубка от 25.06.2024</t>
  </si>
  <si>
    <t>2225187325911422241000261/хладоны от 25.06.2024</t>
  </si>
  <si>
    <t>Поставка хладонов</t>
  </si>
  <si>
    <t>2225187325911422241000261/шпагат,канат от 25.06.2024</t>
  </si>
  <si>
    <t>2224187315101412241211123/авизент от 17.07.2024</t>
  </si>
  <si>
    <t>2224187315101412241211123/батист от 17.07.2024</t>
  </si>
  <si>
    <t>Смазка бензиноупорная 252м от 21.06.2024</t>
  </si>
  <si>
    <t>Поставка смазки бензиноупорной</t>
  </si>
  <si>
    <t>Смазк графитная 252м от 21.06.2024</t>
  </si>
  <si>
    <t>Смазка Литол-24 208м от 21.06.2024</t>
  </si>
  <si>
    <t>Смазка ОКБ-122-7 252м от 21.06.2024</t>
  </si>
  <si>
    <t>№1. Аванс (до базовой даты).(80%,25г.252ед.)</t>
  </si>
  <si>
    <t>Поставка смазки ОКБ-122-7</t>
  </si>
  <si>
    <t>Смазка пластичная Гои-54п 252м от 21.06.2024</t>
  </si>
  <si>
    <t>Поставка смазки ГОИ-54П</t>
  </si>
  <si>
    <t>Смазка пушечная (смазка ПВК) 252м от 21.06.2024</t>
  </si>
  <si>
    <t>Поставка смазки пушечной (смазка ПВК)</t>
  </si>
  <si>
    <t>Смазка ЦИАТИМ-201 252м от 21.06.2024</t>
  </si>
  <si>
    <t>Поставка смазки Циатим-201</t>
  </si>
  <si>
    <t>Смазка Циатим-221 252м от 21.06.2024</t>
  </si>
  <si>
    <t>Поставка смазки Циатим-221</t>
  </si>
  <si>
    <t>Сольвент нефтяной (нефрас-А-130/150) 252м от 21.06.2024</t>
  </si>
  <si>
    <t>Поставка сольвента нефтяного</t>
  </si>
  <si>
    <t>Масло гидравлическое МГЕ-10А от 21.05.2024</t>
  </si>
  <si>
    <t>№1. Аванс (до базовой даты).(80%,24г.180ед.)</t>
  </si>
  <si>
    <t>поставка масла МГЕ-10А</t>
  </si>
  <si>
    <t>Масло смазочное 132-19 от 21.05.2024</t>
  </si>
  <si>
    <t>Поставка масла смазочного 132-19 с ВП МО РФ</t>
  </si>
  <si>
    <t>Мазут топочный 100 1,26% 30м от 08.07.2024</t>
  </si>
  <si>
    <t>№1. Аванс (до базовой даты).(80%,25г.30ед.)</t>
  </si>
  <si>
    <t>Поставка мазута топочного 100</t>
  </si>
  <si>
    <t>КАЗ/427/Фанера от 02.05.2024</t>
  </si>
  <si>
    <t>КАЗ/427/пленка Masko 1800х33 от 02.05.2024</t>
  </si>
  <si>
    <t>№1. Аванс (до базовой даты).(Аванс 100%,24г.31м.)</t>
  </si>
  <si>
    <t>КАЗ/427/смазка ПВК от 04.05.2024</t>
  </si>
  <si>
    <t>КАЗ/427/смазка АМС-3 ГОСТ 2712-2021 от 04.05.2024</t>
  </si>
  <si>
    <t>КАЗ/427/Смазка пластичная ГОИ-54п ГОСТ 3276-89 от 04.05.2024</t>
  </si>
  <si>
    <t>Поставка смазки ГОИ-45П</t>
  </si>
  <si>
    <t>КАЗ/427/Смазка Литол-24 ГОСТ 21150-2017 от 04.05.2024</t>
  </si>
  <si>
    <t>КАЗ/427/паста ВНИИ НП-232 ГОСТ 14068-79 с ВП МО РФ от 04.05.2024</t>
  </si>
  <si>
    <t>поставка пасты ВНИИ НП-232</t>
  </si>
  <si>
    <t>КАЗ/427/масло ружейное РЖ ТУ38.1011315-90 от 04.05.2024</t>
  </si>
  <si>
    <t>КАЗ/427/Смазка циатим-201 ГОСТ 6267-2021 от 04.05.2024</t>
  </si>
  <si>
    <t>КАЗ/427/Нефрас,сольвент от 27.12.2024</t>
  </si>
  <si>
    <t>Поставка нефраса</t>
  </si>
  <si>
    <t>Лента малярная 180м. от 10.05.2024</t>
  </si>
  <si>
    <t>№1. Аванс (до базовой даты).(100%,24г.180м)</t>
  </si>
  <si>
    <t>поставка ленты малярной</t>
  </si>
  <si>
    <t>Поставка масла инд. И12А,И-20А,И-40А 180м от 10.05.2024</t>
  </si>
  <si>
    <t>№1. Аванс (до базовой даты).(80%,24г.180м.)</t>
  </si>
  <si>
    <t>Поставка масла индустриального И-20А, И-40А</t>
  </si>
  <si>
    <t>Поставка парафина нефтяного твердой марки 180м от 10.05.2024</t>
  </si>
  <si>
    <t>№1. Аванс (до базовой даты).(100%,24г.180м.)</t>
  </si>
  <si>
    <t>Поставка Парафина нефтяного</t>
  </si>
  <si>
    <t>очиститель промышленный Экоактив от 24.05.2024</t>
  </si>
  <si>
    <t>Поставка очистителя Экоактив</t>
  </si>
  <si>
    <t>Присадка АКОР-1 от 24.05.2024</t>
  </si>
  <si>
    <t>Замазка ЗЗк-Зу от 24.05.2024</t>
  </si>
  <si>
    <t>Смазка АМС-3 от 24.05.2024</t>
  </si>
  <si>
    <t>Поставка смазки АМС-3</t>
  </si>
  <si>
    <t>Масло моторное М-14-Г2(к) 30м от 05.07.2024</t>
  </si>
  <si>
    <t>поставка масла М14Г2(К)</t>
  </si>
  <si>
    <t>Поставка колец от 28.05.2024</t>
  </si>
  <si>
    <t>Поставка стопорных колец</t>
  </si>
  <si>
    <t>Поставка Втулки ВБ от 28.05.2024</t>
  </si>
  <si>
    <t>поставка втулки ВБ</t>
  </si>
  <si>
    <t>Смазка пластичная ГОИ-54п от 28.05.2024</t>
  </si>
  <si>
    <t>Смазка графитная от 28.05.2024</t>
  </si>
  <si>
    <t>Смазка бензиноупорная от 28.05.2024</t>
  </si>
  <si>
    <t>Смазка Литол-24 от 28.05.2024</t>
  </si>
  <si>
    <t>Паста ВНИИ НП-232 от 28.05.2024</t>
  </si>
  <si>
    <t>Поставка смазки ВНИИ НП-232</t>
  </si>
  <si>
    <t>Смазка пушечная (смазка ПВК) от 28.05.2024</t>
  </si>
  <si>
    <t>Масло ружейное РЖ от 28.05.2024</t>
  </si>
  <si>
    <t>Смазка ЦИАТИМ-201 от 28.05.2024</t>
  </si>
  <si>
    <t>Смазка ЦИАТИМ-203 от 28.05.2024</t>
  </si>
  <si>
    <t>Церезин-75 от 28.05.2024</t>
  </si>
  <si>
    <t>Жидкость охл.низкозамерзающая марки 65 от 28.05.2024</t>
  </si>
  <si>
    <t>№1. Аванс (до базовой даты).(100%,25г.180ед.)</t>
  </si>
  <si>
    <t>Нефрас-С2-80/120 от 28.05.2024</t>
  </si>
  <si>
    <t>№1. Аванс (до базовой даты).(80%,25г.180ед.)</t>
  </si>
  <si>
    <t>Поставка Нефраса С2-80/120</t>
  </si>
  <si>
    <t>Смазка Литол-24 30м от 05.07.2024</t>
  </si>
  <si>
    <t>Поставка керосина КО-25</t>
  </si>
  <si>
    <t>Масло ружейное РЖ 30м от 05.07.2024</t>
  </si>
  <si>
    <t>Смазка Циатим-201 30м от 05.07.2024</t>
  </si>
  <si>
    <t>Жидкость охлаждающая низкозамерзающая марки 65 30м от 05.07.2024</t>
  </si>
  <si>
    <t>Топливо ДТ-А-К2 от 28.05.2024</t>
  </si>
  <si>
    <t>Поставка дизельного топлива ДТ-А-К2</t>
  </si>
  <si>
    <t>Нефрас С2-80/120,Керосин осветительный КО-25,Нефрас С4-150/200 30м от 05.07.2024</t>
  </si>
  <si>
    <t>Мазут топочный 100, 1,26% от 28.05.2024</t>
  </si>
  <si>
    <t>Масло моторное М-14-Г2(к) от 21.05.2024</t>
  </si>
  <si>
    <t>Поставка масла М-14-Г2(к)</t>
  </si>
  <si>
    <t>Поставка керосина осветительного КО-25 252м от 24.06.2024</t>
  </si>
  <si>
    <t>Лента малярная 252м от 24.06.2024</t>
  </si>
  <si>
    <t>Масло индустриальное И-12А 252м от 26.04.2024</t>
  </si>
  <si>
    <t>Поставка масла индустриального И-12А</t>
  </si>
  <si>
    <t>Масло консервационное К-17 252м от 24.06.2024</t>
  </si>
  <si>
    <t>Поставка масла консервационного К-17</t>
  </si>
  <si>
    <t>Масло моторное ВНИИНП М-14/Г2К</t>
  </si>
  <si>
    <t>Масло моторное ВНИИНП М-14/Г2К 208м от 24.06.2024</t>
  </si>
  <si>
    <t>№1. Аванс (до базовой даты).(80%,25г.208ед)</t>
  </si>
  <si>
    <t>Масло ружейное РЖ 252м от 24.06.2024</t>
  </si>
  <si>
    <t>№1. Аванс (до базовой даты).(100%,25г.252ед)</t>
  </si>
  <si>
    <t>Масло трансмиссионное ТСЗп-8 208м от 24.06.2024</t>
  </si>
  <si>
    <t>Поставка масла трансмиссионного ТСЗП-8</t>
  </si>
  <si>
    <t>Изделия из древесины ИГК 1123 30м от 02.07.2024</t>
  </si>
  <si>
    <t>№1. Аванс (до базовой даты).(80%,25г.30изд.)</t>
  </si>
  <si>
    <t>Поставка изделий из древесины</t>
  </si>
  <si>
    <t>Нефрас С2-80/120 208м от 24.06.2024</t>
  </si>
  <si>
    <t>Нефрас С4-150/200 208м от 24.06.2024</t>
  </si>
  <si>
    <t>Поставка нефраса С4-150/200</t>
  </si>
  <si>
    <t>Очиститель промышленный Экоактив 208м от 24.06.2024</t>
  </si>
  <si>
    <t>Парафин нефтяной твердый марки Т-2 252м от 24.06.2024</t>
  </si>
  <si>
    <t>№1. Аванс (до базовой даты).(80%,25г.252ед)</t>
  </si>
  <si>
    <t>Паста ВНИИ НП-232 252м от 24.06.2024</t>
  </si>
  <si>
    <t>Пленка защитная Masko 1800*33 525м от 24.06.2024</t>
  </si>
  <si>
    <t>Топливо для реактивных двигателей ТС-1 252м от 21.06.2024</t>
  </si>
  <si>
    <t>№1. Аванс (до базовой даты).(80%,25г.252м)</t>
  </si>
  <si>
    <t>Масло трансмиссионное ТСЗп-8 30м от 02.07.2024</t>
  </si>
  <si>
    <t>Поставка масла трансмиссионного ТСЗп-8</t>
  </si>
  <si>
    <t>Присадка Акор-1 252м от 21.06.2024</t>
  </si>
  <si>
    <t>Лента ИГК 1123 30м. от 02.07.2024</t>
  </si>
  <si>
    <t>№1. Аванс (до базовой даты).(100%,25г.30изд.)</t>
  </si>
  <si>
    <t>Топливо котельное марки ТКМ-16 с содержанием серы до 1,26% 252м от 24.06.2024</t>
  </si>
  <si>
    <t>Поставка топлива мазут с содержанием серы 1,26%</t>
  </si>
  <si>
    <t>Автожидкость охлаждающая "Тосол-А40М" от 28.05.2024</t>
  </si>
  <si>
    <t>Поставка охлаждающей жидкости "Тосол-А40М"</t>
  </si>
  <si>
    <t>Фанера 180м от 10.05.2024</t>
  </si>
  <si>
    <t>Полотно Supersilika-12 180м от 10.05.2024</t>
  </si>
  <si>
    <t>поставка суперсилики</t>
  </si>
  <si>
    <t>Пленка защитная Masko 1800*33 180м. от 10.05.2024</t>
  </si>
  <si>
    <t>Смазка ШРУС-4М от 21.05.2024</t>
  </si>
  <si>
    <t>Масло моторное ВНИИНП М-53/16Д2 от 21.05.2024</t>
  </si>
  <si>
    <t>Поставка масла ВНИИНП М-53/16Д</t>
  </si>
  <si>
    <t>Поставка топлива ДТ-А-К2,ДТ-3 минус 35 К2 30м от 08.07.2024</t>
  </si>
  <si>
    <t>Поставка Топлива ДТ-А-К2</t>
  </si>
  <si>
    <t>Масло моторное ВНИИНП М-53/16Д2 30м от 05.07.2024</t>
  </si>
  <si>
    <t>Масло трансмиссионное ТСЗп-8 от 21.05.2024</t>
  </si>
  <si>
    <t>Масло консервационное К-17 от 21.05.2024</t>
  </si>
  <si>
    <t>№1. Аванс (до базовой даты).(Аванс 100%,24г.180ед.)</t>
  </si>
  <si>
    <t>Изделия из древесины 252м от 24.06.2024</t>
  </si>
  <si>
    <t>КАЗ/427/масло моторное М-14-Г2(к)ТУ38.401-58-98-2005 от 04.05.2024</t>
  </si>
  <si>
    <t>Поставка масла М-14 Г2 (К)</t>
  </si>
  <si>
    <t>Замазка З3К-3у 252м от 24.06.2024</t>
  </si>
  <si>
    <t>КАЗ/427/Масло трансм.ТСЗп-8 ТУ38.1011280-89 от 04.05.2024</t>
  </si>
  <si>
    <t>Поставка масла ТСЗП-8</t>
  </si>
  <si>
    <t>КАЗ/427/Масло инд.И-12А ГОСТ 20799-2022 от 04.05.2024</t>
  </si>
  <si>
    <t>Замазка ЗЗк-Зу 30м от 05.07.2024</t>
  </si>
  <si>
    <t>Жидкость охлаждающая низкозамерзающая марки 65 208м от 24.06.2024</t>
  </si>
  <si>
    <t>ТЕХНОТРЕЙД ООО</t>
  </si>
  <si>
    <t>поставка хомутов</t>
  </si>
  <si>
    <t>2226187415091412241009022/2511к/426 от 21.06.2024</t>
  </si>
  <si>
    <t>2225187325911422241000261/3077к/426 от 30.05.2024</t>
  </si>
  <si>
    <t>2224187315101412241211123/диоды от 23.07.2024</t>
  </si>
  <si>
    <t>ТЕХНОТРЕНД ООО</t>
  </si>
  <si>
    <t>КАЗ/427/Очиститель пром.Экоактив ТУ2381-001-27472201-2015 от 04.05.2024</t>
  </si>
  <si>
    <t>Поставка очистителя</t>
  </si>
  <si>
    <t>ТЗИК ООО</t>
  </si>
  <si>
    <t>поставка винилискожи Универсал-2</t>
  </si>
  <si>
    <t>КАЗ/426/материал для голенищ обуви от 10.05.2024</t>
  </si>
  <si>
    <t>поставка материала для обуви</t>
  </si>
  <si>
    <t>ТК ЭКСПРЕССХИМ ООО</t>
  </si>
  <si>
    <t>426-12/4402 от 17.07.2024</t>
  </si>
  <si>
    <t>поставка бихромат калия</t>
  </si>
  <si>
    <t>ТУРБИНА АО СКБ</t>
  </si>
  <si>
    <t>2225187325911422241000261/4517к/429/302Д/13/22 от 30.09.2022</t>
  </si>
  <si>
    <t>Поставка частей пневматических и гидравлических систем</t>
  </si>
  <si>
    <t>Аванс - Этап №3 (40%,25г,55м)</t>
  </si>
  <si>
    <t>2325187912351422241015207/4029к/429/408Д/13/23 от 03.11.2023</t>
  </si>
  <si>
    <t>Поставка Электропневмоклапана ЭПК 219-09-сб319</t>
  </si>
  <si>
    <t>Поставка электропневмоклапана</t>
  </si>
  <si>
    <t>КАЗ/429/ЭПК от 01.01.2024</t>
  </si>
  <si>
    <t>2226187415091412241009022/429/25год/ЭПК от 01.01.2024</t>
  </si>
  <si>
    <t>Поставка электропневмоизделий</t>
  </si>
  <si>
    <t>2225187325911422241000261/429/новый/электропвмоклаг от 01.01.2024</t>
  </si>
  <si>
    <t>Поставка электропневмоклапана 219-09-сб319ТУ</t>
  </si>
  <si>
    <t>2224187315101412241211123/429/25год/ЭПК от 01.01.2024</t>
  </si>
  <si>
    <t>ТЭТЗ АО</t>
  </si>
  <si>
    <t>Поставка топливного центробежного насоса</t>
  </si>
  <si>
    <t>поставка ПТ-800</t>
  </si>
  <si>
    <t>2225187325911422241000261/5641к/429/0620-СБ/2022 от 10.11.2022</t>
  </si>
  <si>
    <t>Поставка топливных центробежных насосов</t>
  </si>
  <si>
    <t>2325187912341422241000262/5273к/429/0874-СБ/2023 от 07.12.2023</t>
  </si>
  <si>
    <t>2225187325911422241000261/1203к/429/0229-СБ/2024 в ред. ДС1 от 09.04.2024</t>
  </si>
  <si>
    <t>Поставка ТЦН-1</t>
  </si>
  <si>
    <t>2226187415091412241009022/1422к/429/0276-СБ/2024 от 23.04.2024</t>
  </si>
  <si>
    <t>Поставка насоса центробежного ТЦН-1</t>
  </si>
  <si>
    <t>2224187315101412241211123/2296к/429 от 25.06.2024</t>
  </si>
  <si>
    <t>поставка насоса топливного ТЦН -1</t>
  </si>
  <si>
    <t>КАЗ/429/ТЦН-1 от 01.01.2024</t>
  </si>
  <si>
    <t>КАЗ/429/ПТ-800 от 01.01.2024</t>
  </si>
  <si>
    <t>УАП ГИДРАВЛИКА АО</t>
  </si>
  <si>
    <t>2225187325911422241000261/5312к/429 (ДС1) от 28.10.2022</t>
  </si>
  <si>
    <t>2225187325911422241000261/5312к/429 (ДС1) от 28.10.2022 (доп.закупка 2225187325911422241000261/5312к/429/новый от 01.01.2024)</t>
  </si>
  <si>
    <t>2226187415091412241009022/58БД-12/23-185/4199к/429 от 23.06.2023 (доп.закупка 2226187415091412241009022/58БД-12/23-185/4199к/429/25год от 01.01.2024)</t>
  </si>
  <si>
    <t>2325187912341422241000262/58БД-12/23-250/181к/429 от 24.08.2023</t>
  </si>
  <si>
    <t>поставка автоматов защиты сети</t>
  </si>
  <si>
    <t>КАЗ/429/автомат АЗР-2 от 01.01.2024</t>
  </si>
  <si>
    <t>Поставка автомата АЗР-2</t>
  </si>
  <si>
    <t>2224187315101412241211123/429/25год/АЗР от 01.01.2024</t>
  </si>
  <si>
    <t>Поставка автомата защиты АЗР</t>
  </si>
  <si>
    <t>УБТ-УРАЛВАГОНЗАВОД АО</t>
  </si>
  <si>
    <t>КАЗ/427/Топливо ДТ от 04.05.2024</t>
  </si>
  <si>
    <t>Поставка топлива дизельного</t>
  </si>
  <si>
    <t>УК КТИАМ ООО</t>
  </si>
  <si>
    <t>2225187325911422241000261/1267к/424 от 19.03.2024</t>
  </si>
  <si>
    <t>№3. Аванс (100%,24г).</t>
  </si>
  <si>
    <t>УКБП АО</t>
  </si>
  <si>
    <t>Поставка сигнализатора давления унифицированного СДУ1А-0,12</t>
  </si>
  <si>
    <t>2225187325911422241000261/5юр-1164/22/4617к/429 от 21.07.2022</t>
  </si>
  <si>
    <t>2225187325911422241000261/5юр-1164/22/4617к/429 от 21.07.2022 (доп.закупка 2225187325911422241000261/5юр-1164/22/4617к/429 от 01.01.2024)</t>
  </si>
  <si>
    <t>2226187415091412241009022/5юр-1594/22/5029к/429 от 23.09.2022 (доп.закупка 2226187415091412241009022/5юр-1594/22/5029к/429/25год от 01.01.2024)</t>
  </si>
  <si>
    <t>Аванс - Этап №2 (80%,25г,89м)</t>
  </si>
  <si>
    <t>Поставка сигнализатора давления СДУ1А-0,12</t>
  </si>
  <si>
    <t>2325187912341422241000262/5юр-2232/23/950к/429 от 16.11.2023</t>
  </si>
  <si>
    <t>Аванс - Этап №2 (60%,25г,20м)</t>
  </si>
  <si>
    <t>2226187415091412241009022/5юр-315/24/1710к/429 в ред ДС1 от 26.02.2024</t>
  </si>
  <si>
    <t>Аванс - Этап №1 (60%,25г,10м)</t>
  </si>
  <si>
    <t>КАЗ/429/сигнализатор от 01.01.2024</t>
  </si>
  <si>
    <t>2224187315101412241211123/429/25год/СДУ от 01.01.2024</t>
  </si>
  <si>
    <t>УКБТМ АО</t>
  </si>
  <si>
    <t>Поставка моноблока ДГУ10</t>
  </si>
  <si>
    <t>2226187415091412241009022/7754/4452к/429 от 30.09.2022 (доп.закупка 2226187415091412241009022/7754/4452к/429/25год от 01.01.2024)</t>
  </si>
  <si>
    <t>КАЗ/429/моноблок от 01.01.2024</t>
  </si>
  <si>
    <t>УРАЛАТИ ПАО</t>
  </si>
  <si>
    <t>поставка паронита</t>
  </si>
  <si>
    <t>2226187415091412241009022/паронит, шнур асбестовый от 03.06.2024</t>
  </si>
  <si>
    <t>2225187325911422241000261/паронит от 24.06.2024</t>
  </si>
  <si>
    <t>УРАЛКАБЕЛЬ АО</t>
  </si>
  <si>
    <t>2224187315101412241211123/провода БПВЛ от 23.07.2024</t>
  </si>
  <si>
    <t>УРАЛСПЕЦСТАЛЬ ООО</t>
  </si>
  <si>
    <t>Аванс - Этап №3 (до80%,25г,15м)</t>
  </si>
  <si>
    <t>2224187315101412241211123/5444к/429 в ред. ДС1 от 19.12.2023</t>
  </si>
  <si>
    <t>2225187325911422241000261/5494к/429 в ред. ДС1 от 21.12.2023</t>
  </si>
  <si>
    <t>Поставка литья</t>
  </si>
  <si>
    <t>Аванс - Этап №3 (до80%,25г,77м)</t>
  </si>
  <si>
    <t>2226187415091412241009022/1542к/429 от 02.05.2024</t>
  </si>
  <si>
    <t>Поставка корпусов, крышек</t>
  </si>
  <si>
    <t>2325187912341422241000262/1785к/429 от 23.05.2024</t>
  </si>
  <si>
    <t>2426187915321412241236382/2639к/429 от 17.07.2024</t>
  </si>
  <si>
    <t>УРАЛТРАНСМАШ АО</t>
  </si>
  <si>
    <t>2224187315101412241211123/2374к/429 от 22.06.2022</t>
  </si>
  <si>
    <t>Поставка нагнетателя 18.01.002-А</t>
  </si>
  <si>
    <t>2225187325911422241000261/4500к/429 от 03.10.2022</t>
  </si>
  <si>
    <t>2225187325911422241000261/4500к/429 от 03.10.2022 (доп.закупка 2225187325911422241000261/4500к/429 от 01.01.2024)</t>
  </si>
  <si>
    <t>2226187415091412241009022/4800к/429 от 17.10.2022</t>
  </si>
  <si>
    <t xml:space="preserve"> Аванс - Этап №4 (до80%,25г,180м).</t>
  </si>
  <si>
    <t>2325187912341422241000262/5217к/429 от 04.12.2023</t>
  </si>
  <si>
    <t>КАЗ/429/нагнетатель от 01.01.2024</t>
  </si>
  <si>
    <t>УРАЛХИМПРОДУКТ ООО</t>
  </si>
  <si>
    <t>КАЗ/426/грязесъемник от 10.05.2024</t>
  </si>
  <si>
    <t>поставка грязесьемников</t>
  </si>
  <si>
    <t>УРАЛХИМСНАБ ООО</t>
  </si>
  <si>
    <t>2225187325911422241000261/герметик от 22.06.2024</t>
  </si>
  <si>
    <t>2224187315101412241211123/виксинт от 15.07.2024</t>
  </si>
  <si>
    <t>поставка виксинта</t>
  </si>
  <si>
    <t>УРАЛШИНА ООО</t>
  </si>
  <si>
    <t>2224187315101412241211123/3608к/429/362 от 23.08.2022</t>
  </si>
  <si>
    <t>поставка массивных шин</t>
  </si>
  <si>
    <t>2225187325911422241000261/4363к/429/356 от 26.09.2022</t>
  </si>
  <si>
    <t>поставка катков опорных</t>
  </si>
  <si>
    <t>2226187415091412241009022/4801к/429/496 от 17.10.2022</t>
  </si>
  <si>
    <t>Поставка массивных шин с диском</t>
  </si>
  <si>
    <t>2325187912341422241000262/5221к/429/597 от 04.12.2023</t>
  </si>
  <si>
    <t>КАЗ/429/диск с шиной от 01.01.2024</t>
  </si>
  <si>
    <t>Поставка дисков с шиной</t>
  </si>
  <si>
    <t>УРАЛЬСКАЯ АЛЮМИНИЕВАЯ КОМПАНИЯ ООО</t>
  </si>
  <si>
    <t>2224187315101412241211123/2022к/424 от 05.06.2024</t>
  </si>
  <si>
    <t>№1. Аванс (100%,24г,298 маш).</t>
  </si>
  <si>
    <t>УРАЛЬСКАЯ МЕТАЛЛОБАЗА ООО ТД</t>
  </si>
  <si>
    <t>поставка труб</t>
  </si>
  <si>
    <t>2226187415091412241009022/3059к/424 от 13.08.2024</t>
  </si>
  <si>
    <t>УРАЛЬСКИЙ ДОМ ООО</t>
  </si>
  <si>
    <t>КАЗ/427/изделия из древесины от 02.05.2024</t>
  </si>
  <si>
    <t>№1. Аванс (до базовой даты).(Аванс 80%,24г.31м)</t>
  </si>
  <si>
    <t>УРАЛЬСКИЙ ЗАВОД РТИ ПАО</t>
  </si>
  <si>
    <t>Поставка РТИ</t>
  </si>
  <si>
    <t>КАЗ/426/рукава от 10.05.2024</t>
  </si>
  <si>
    <t>2226187415091412241009022/рукава,трубки, пластина от 03.06.2024</t>
  </si>
  <si>
    <t>2225187325911422241000261/пластины от 25.06.2024</t>
  </si>
  <si>
    <t>2224187315101412241211123/РТИ от 16.07.2024</t>
  </si>
  <si>
    <t>2225187325911422241000261/детали РТи от 24.06.2024</t>
  </si>
  <si>
    <t>УРАЛЭЛАСТОТЕХНИКА АО</t>
  </si>
  <si>
    <t>поставка прокладок</t>
  </si>
  <si>
    <t>КАЗ/426/пластины от 10.05.2024</t>
  </si>
  <si>
    <t>2226187415091412241009022/пластины от 03.06.2024</t>
  </si>
  <si>
    <t>2225187325911422241000261/пластины от 24.06.2024</t>
  </si>
  <si>
    <t>2224187315101412241211123/прокладка от 15.07.2024</t>
  </si>
  <si>
    <t>2224187315101412241211123/пластина от 16.07.2024</t>
  </si>
  <si>
    <t>Федотов Олег Васильевич</t>
  </si>
  <si>
    <t>Поставка тиглей керамических</t>
  </si>
  <si>
    <t>УТ-71 от 24.07.2024</t>
  </si>
  <si>
    <t>ФНПЦНИИ ПРИКЛАДНОЙ ХИМИИ АО</t>
  </si>
  <si>
    <t>Поставка дымовых гранат</t>
  </si>
  <si>
    <t>поставка гранаты 3Д6М</t>
  </si>
  <si>
    <t>КАЗ/429/Гранаты от 01.01.2024</t>
  </si>
  <si>
    <t>2226187415091412241009022/429/25год/3Д6М от 01.01.2024</t>
  </si>
  <si>
    <t>Поставка изделия 3Д6М</t>
  </si>
  <si>
    <t>2225187325911422241000261/429/новый/гранаты от 01.01.2024</t>
  </si>
  <si>
    <t>ФОЗ АО</t>
  </si>
  <si>
    <t>Поставка датчика ветра ДВЕ БЛ2.320.062</t>
  </si>
  <si>
    <t>2225187325911422241000261/6150к/429 от 29.11.2022</t>
  </si>
  <si>
    <t>2325187912341422241000262/1055к/429 от 28.03.2024</t>
  </si>
  <si>
    <t>КАЗ/429/ДВЕ от 01.01.2024</t>
  </si>
  <si>
    <t>ФОРПОСТ ООО</t>
  </si>
  <si>
    <t>2226187415091412241009022/426/пломба 10/6,5 от 03.06.2024</t>
  </si>
  <si>
    <t>Поставка пломбы 10/6,5</t>
  </si>
  <si>
    <t>Поставка пломб</t>
  </si>
  <si>
    <t>ПУ-554 от 24.07.2024</t>
  </si>
  <si>
    <t>Хайрутдинов Салават Фанисович</t>
  </si>
  <si>
    <t>№1. Аванс (до базовой даты).(100%.25г,252м)</t>
  </si>
  <si>
    <t>№1. Аванс (до базовой даты).(100%.24г,252м)</t>
  </si>
  <si>
    <t>ХИММЕТПРОДУКТ ООО НПП</t>
  </si>
  <si>
    <t>2226187415091412241009022/2191к/424 от 14.06.2024</t>
  </si>
  <si>
    <t>2226187415091412241009022/2258к/424 от 21.06.2024</t>
  </si>
  <si>
    <t>№1. Аванс (100%,24г,298шт).</t>
  </si>
  <si>
    <t>ХИМПРОДУКЦИЯ АО</t>
  </si>
  <si>
    <t>2226187415091412241009022/2774к/426 от 25.07.2024</t>
  </si>
  <si>
    <t>поставка поролона</t>
  </si>
  <si>
    <t>2226187415091412241009022/стекло листовое органиче от 03.06.2024</t>
  </si>
  <si>
    <t>2225187325911422241000261/полипропилен от 24.06.2024</t>
  </si>
  <si>
    <t>поставка композиции Армлен</t>
  </si>
  <si>
    <t>2225187325911422241000261/стекло листовое от 25.06.2024</t>
  </si>
  <si>
    <t>№1. Аванс (до базовой даты).(80%,25г, 252м)</t>
  </si>
  <si>
    <t>2224187315101412241211123/оргстекло от 05.07.2024</t>
  </si>
  <si>
    <t>ХИМПРОМ ПАО</t>
  </si>
  <si>
    <t>Поставка связующего</t>
  </si>
  <si>
    <t>2225187325911422241000261/01/6051/2728к/424 от 03.07.2024</t>
  </si>
  <si>
    <t>ХИМЭКСПРЕСС ООО</t>
  </si>
  <si>
    <t>Поставка шеллака натурального</t>
  </si>
  <si>
    <t>2226187415091412241009022/шеллак от 04.06.2024</t>
  </si>
  <si>
    <t>2225187325911422241000261/шеллак натуральный от 25.06.2024</t>
  </si>
  <si>
    <t>Поставка комплектующих машин для металлургического производства</t>
  </si>
  <si>
    <t>ЧЕЛЯБИНСКОЕ ПРЕДПРИЯТИЕ ПОЛИКОМ ООО</t>
  </si>
  <si>
    <t>Поставка колец уплотнительных МАК</t>
  </si>
  <si>
    <t>Поставка уплотнительных колец  МАК</t>
  </si>
  <si>
    <t>2224187315101412241211123/1949к/429 от 06.05.2024</t>
  </si>
  <si>
    <t>2225187325911422241000261/2257к/429 от 06.05.2024</t>
  </si>
  <si>
    <t>Аванс - Этап №1 (50%,25г,197м)</t>
  </si>
  <si>
    <t>2226187415091412241009022/2334к/429 от 06.05.2024</t>
  </si>
  <si>
    <t>Поставка колец МАК</t>
  </si>
  <si>
    <t>КАЗ/429/кольца МАК от 01.01.2024</t>
  </si>
  <si>
    <t>2225187325911422241000261/новый/кольцаМАК от 01.01.2024</t>
  </si>
  <si>
    <t>2226187415091412241009022/25год/КольцаМАК/429 от 01.01.2024</t>
  </si>
  <si>
    <t>ЧЕРЛИТ ООО</t>
  </si>
  <si>
    <t>2952к/424 от 06.08.2024 (Спецификация 2225187325911422241000261/1 от 06.08.2024 договор 2952к/424 от 06.08.2024)</t>
  </si>
  <si>
    <t>2952к/424 от 06.08.2024 (Спецификация 2226187415091412241009022/2 от 06.08.2024 договор 2952к/424 от 06.08.2024)</t>
  </si>
  <si>
    <t>ЧИП И ДИП АО</t>
  </si>
  <si>
    <t>13193970/429/новый/контакты от 01.01.2024</t>
  </si>
  <si>
    <t>поставка контактов, уплотнителей</t>
  </si>
  <si>
    <t>2224187315101412241211123/429/25год/контакт от 01.01.2024</t>
  </si>
  <si>
    <t>Поставка Контакта 929975-1 Уплотнительпровода 828921-1</t>
  </si>
  <si>
    <t>13193970 от 24.04.2024</t>
  </si>
  <si>
    <t>ЧТЗ-УРАЛТРАК ООО</t>
  </si>
  <si>
    <t>2224187315101412241211123/4711к/429 в ред. ДС1 от 12.10.2022</t>
  </si>
  <si>
    <t>Поставка двигателя В-92С2Ф, клапана нагнетательного сб.3327-08.1А, шайбы уплотнения 411-13-10, гофр-сальника Сб.411-164-1</t>
  </si>
  <si>
    <t>2225187325911422241000261/123/22-248Д/5341к/429 от 21.09.2022</t>
  </si>
  <si>
    <t>Поставка двигателя В-92С2Ф; клапана нагнетательного сб.3327-08-1А</t>
  </si>
  <si>
    <t>2226187415091412241009022/123/22-251Д/5438к/429 от 23.09.2022</t>
  </si>
  <si>
    <t>Поставка двигателя В-92С2Ф ОС-4-103 ТУ, клапана нагнетательного Сб.3327-08-1А</t>
  </si>
  <si>
    <t>2325187912341422241000262/123/23-347Д/4833к/429 от 18.07.2023</t>
  </si>
  <si>
    <t>поставка двигателей</t>
  </si>
  <si>
    <t>Аванс до 80% 25г</t>
  </si>
  <si>
    <t>КАЗ/429/двигатели,клапаны от 01.01.2024</t>
  </si>
  <si>
    <t>ЧЧЗ ВОСТОК ООО</t>
  </si>
  <si>
    <t>Поставка счетчика моточасов 228 чп-IIIIО</t>
  </si>
  <si>
    <t>2224187315101412241211123/429/25год/счетчик от 01.01.2024</t>
  </si>
  <si>
    <t>Аванс - Этап №1/1 (20%,25г,30м)</t>
  </si>
  <si>
    <t>ЧЭАЗ АО</t>
  </si>
  <si>
    <t>2225187325911422241000261/198/075-937/22/4585к/429 от 18.08.2022</t>
  </si>
  <si>
    <t>2225187325911422241000261/198/075-937/22/4585к/429 от 18.08.2022 (доп.закупка 2225187325911422241000261/198/075-937/22/4585к/429 от 01.01.2024)</t>
  </si>
  <si>
    <t>2226187415091412241009022/198/075-313/24/2107к/429 от 26.03.2024</t>
  </si>
  <si>
    <t>поставка выключателей и переключателей</t>
  </si>
  <si>
    <t>2224187315101412241211123/198/075-523/24/2691к/429 от 14.05.2024</t>
  </si>
  <si>
    <t>Поставка Выключателя В-45М, Переключателя ПН-45М-2, контактора ТКД501 ДОД,реле РНЕ22 24В</t>
  </si>
  <si>
    <t>КАЗ/429/выключательВ45-М от 01.01.2024</t>
  </si>
  <si>
    <t>Поставка Выключатель В-45М, переключатель ПП-45М, ПН-45М-2</t>
  </si>
  <si>
    <t>ШААЗ АО</t>
  </si>
  <si>
    <t>Поставка Ш2-3911010-10 шприца смазочно-заправочного</t>
  </si>
  <si>
    <t>2225187325911422241000261/СБ 747/ЗП-2023/4713к/429 от 22.08.2022</t>
  </si>
  <si>
    <t>2225187325911422241000261/СБ 81/4 ОТК-2023/3627к/429 от 26.06.2023</t>
  </si>
  <si>
    <t>Поставка шприца смазочно-заправочного Ш2-3911010-10</t>
  </si>
  <si>
    <t>2226187415091412241009022/429/25год/Ш2 от 01.01.2024</t>
  </si>
  <si>
    <t>2224187315101412241211123/СБ 14284ВП-2025/1724к/429 от 29.02.2024</t>
  </si>
  <si>
    <t>Поставка шприца смазочно-заправочного</t>
  </si>
  <si>
    <t>1123-25-10</t>
  </si>
  <si>
    <t>КАЗ/429/фильтр/шприц от 01.01.2024</t>
  </si>
  <si>
    <t>Поставка Фильтр, шприц смазочно-заправочный</t>
  </si>
  <si>
    <t>2225187325911422241000261/429/новый/Ш2 от 01.01.2024</t>
  </si>
  <si>
    <t>Поставка шприца заправочного  Ш2-3911010-10</t>
  </si>
  <si>
    <t>ШЗПИ ОАО</t>
  </si>
  <si>
    <t>поставка подшипников</t>
  </si>
  <si>
    <t>2226187415091412241009022/756-2024/2634к/427 от 16.07.2024</t>
  </si>
  <si>
    <t>КАЗ/427/Подш.по ЕТУ 500 ОАО "ШЗПИ" от 06.05.2024</t>
  </si>
  <si>
    <t>Подшипниковая продукция/180м ОАО "ШЗПИ" от 28.05.2024</t>
  </si>
  <si>
    <t>Шары и ролики ОАО "ШЗПИ" 30м от 08.07.2024</t>
  </si>
  <si>
    <t>Подшипниковая продукция по ЕТУ 500 153м ОАО "ШЗПИ" от 27.06.2024</t>
  </si>
  <si>
    <t>ЭЛЕКТРОАВТОМАТ АО</t>
  </si>
  <si>
    <t>2225187325911422241000261/349/05/2022-ЭА/2/4152к/429 в ред. ДС1 от 28.07.2022</t>
  </si>
  <si>
    <t>Аванс - Этап №5 (100%,25г,197м)</t>
  </si>
  <si>
    <t>2226187415091412241009022/349/07/2022-ЭА/2/5237к/429 в ред ДС1 от 28.07.2022</t>
  </si>
  <si>
    <t>2325187912341422241000262/349/09/2023-ЭА/2/5195к/429 от 19.10.2023</t>
  </si>
  <si>
    <t>2224187315101412241211123/OQ38046/2720к/429 от 13.05.2024</t>
  </si>
  <si>
    <t>Поставка микропереключателя Д701</t>
  </si>
  <si>
    <t>КАЗ/429/кнопки,переключатели от 01.01.2024</t>
  </si>
  <si>
    <t>Поставка кнопок, переключателей</t>
  </si>
  <si>
    <t>Поставка зарядного устройства УЗМ-0,94-1-В</t>
  </si>
  <si>
    <t>2224187315101412241211123/429/25год/УЗМ от 01.01.2024</t>
  </si>
  <si>
    <t>Поставка Устройства зарядного малогабаритного УЗМ-0,94-1-В ИТНЯ.431429.020</t>
  </si>
  <si>
    <t>ЭЛЕКТРОМАШ ООО НПО</t>
  </si>
  <si>
    <t>Поставка ДРВ-20Д</t>
  </si>
  <si>
    <t>2224187315101412241211123/429/25год/ДРВ от 01.01.2024</t>
  </si>
  <si>
    <t>ЭЛЕКТРОПРИБОР ОАО</t>
  </si>
  <si>
    <t>2225187325911422241000261/320/2024 ОАО/2498к/429 от 24.04.2024</t>
  </si>
  <si>
    <t>Аванс - Этап №1 (100%,25г,197/55м)</t>
  </si>
  <si>
    <t>Поставка указателя М442301.19</t>
  </si>
  <si>
    <t>ЭЛЕКТРОСИГНАЛ АО</t>
  </si>
  <si>
    <t>2225187325911422241000261/010/93/23/5304к/429 от 19.08.2022</t>
  </si>
  <si>
    <t>Поставка радиоизделий</t>
  </si>
  <si>
    <t>2225187325911422241000261/010/92/23/5522к/429 от 16.08.2022</t>
  </si>
  <si>
    <t>2226187415091412241009022/010/234/24/4294к/429 от 22.09.2023</t>
  </si>
  <si>
    <t>010/241/24/5099к/429 от 28.09.2023</t>
  </si>
  <si>
    <t>2225187325911422241000261/010/146/25/1505к/429 от 22.02.2024</t>
  </si>
  <si>
    <t>Аванс - Этап №1 (до80%,25г,77м)</t>
  </si>
  <si>
    <t>Поставка пультов Р-168ПУ2</t>
  </si>
  <si>
    <t>2224187315101412241211123/429/25год/радио от 01.01.2024</t>
  </si>
  <si>
    <t>Поставка Радиостанции Р-168-25У-2 ИТНЯ.464511.245ТУ с ЗИП,Пульта Р-168ПУ2,Антенны Р-168БШДА,Блока фильтров,Устройства Р-168УВРД-ОИТНЯ.</t>
  </si>
  <si>
    <t>ЭЛЕКТРОСОЕДИНИТЕЛЬ АО</t>
  </si>
  <si>
    <t>2225187325911422241000261/6159к/429 от 29.11.2022</t>
  </si>
  <si>
    <t>Аванс - Этап №3 (100%,25г,197м)</t>
  </si>
  <si>
    <t>Поставка вилок "ВП"</t>
  </si>
  <si>
    <t>9607/5218к/429 в ред. 2325187912341422241000262/6789/1 от 15.09.2023</t>
  </si>
  <si>
    <t>10040/467к/429 от 04.12.2023 (2226187415091412241009022/5 к дог. 467к от 01.04.2024)</t>
  </si>
  <si>
    <t>2224187315101412241211123/10641/2589к/429 от 18.06.2024</t>
  </si>
  <si>
    <t>2224187315101412241211123/10632/2654к/429 от 17.06.2024</t>
  </si>
  <si>
    <t>2224187315101412241211123/10673/2659к/429 от 24.06.2024</t>
  </si>
  <si>
    <t>КАЗ/429//вилки от 01.01.2024</t>
  </si>
  <si>
    <t>ЭЛЕКТРОТЯГА ЗАО</t>
  </si>
  <si>
    <t>Поставка аккумуляторной батареи 12СТ-85РМ</t>
  </si>
  <si>
    <t>Поставка аккумуляторных батарей 12СТ-85РМ</t>
  </si>
  <si>
    <t>Аванс - Этап №4 (80%,25г,197м)</t>
  </si>
  <si>
    <t>Поставка аккумуляторных батарей</t>
  </si>
  <si>
    <t>Аванс - Этап №2 (80%,25г,180м)</t>
  </si>
  <si>
    <t>2325187912341422241000262/06/248/5603к/429 от 10.11.2023</t>
  </si>
  <si>
    <t>КАЗ/429/аккумулятор от 01.01.2024</t>
  </si>
  <si>
    <t>Поставка аккумулятора</t>
  </si>
  <si>
    <t>поставка аккумуляторов</t>
  </si>
  <si>
    <t>ЭНЕРГИЯ ПАО</t>
  </si>
  <si>
    <t>Поставка Батареи БТ-5К-1</t>
  </si>
  <si>
    <t>2226187415091412241009022/24п/7-251/1747к/429 от 27.04.2024</t>
  </si>
  <si>
    <t>24п/7-365/2543к/429 от 24.06.2024</t>
  </si>
  <si>
    <t>Аванс - Этап №1 (50%,25г,31м)</t>
  </si>
  <si>
    <t>ЭТАЛОН ООО НПП</t>
  </si>
  <si>
    <t>2325187912341422241000262/2372к/426 от 01.07.2024</t>
  </si>
  <si>
    <t>2225187325911422241000261/3240к/426 от 23.08.2024</t>
  </si>
  <si>
    <t>КАЗ/426/смесь резиновая ТУ от 10.05.2024</t>
  </si>
  <si>
    <t>ЭТК УРАЛ ЛАЙН ООО</t>
  </si>
  <si>
    <t>2226187415091412241009022/2653к/426 от 17.07.2024</t>
  </si>
  <si>
    <t>ЭХМЗ ИМ Н.Д. ЗЕЛИНСКОГО ОАО</t>
  </si>
  <si>
    <t>Поставка фильтр поглотителя ФПТ-100Б</t>
  </si>
  <si>
    <t>2325187912341422241000262/004/520к/429 от 12.01.2024</t>
  </si>
  <si>
    <t>КАЗ/429/ФПТ от 01.01.2024</t>
  </si>
  <si>
    <t>2226187415091412241009022/429/25год/ФПТ от 01.01.2024</t>
  </si>
  <si>
    <t>2225187325911422241000261/429/новый/ФПТ от 01.01.2024</t>
  </si>
  <si>
    <t>2224187315101412241211123/429/25год/ФПТ от 01.01.2024</t>
  </si>
  <si>
    <t>Общий итог</t>
  </si>
  <si>
    <t>Примечание</t>
  </si>
  <si>
    <t>424 Итог</t>
  </si>
  <si>
    <t>426 Итог</t>
  </si>
  <si>
    <t>427 Итог</t>
  </si>
  <si>
    <t>429 Итог</t>
  </si>
  <si>
    <t>Не заключен</t>
  </si>
  <si>
    <t>Срок оформления ЗнП</t>
  </si>
  <si>
    <t>АО "КШФ"Передовая текстильщика"</t>
  </si>
  <si>
    <t>Ткань техническая 56319</t>
  </si>
  <si>
    <t>ООО "ППЗ", г.Волжский</t>
  </si>
  <si>
    <t>Ростов-на-Дону, ОАО "ГПЗ-10"</t>
  </si>
  <si>
    <t>Подшипники по ЕТУ-500</t>
  </si>
  <si>
    <t>Лыткарино, АО "ЛЗОС"
РОСТЕХ (Швабе)</t>
  </si>
  <si>
    <t>Таганрог, АО "НКБ ВС"</t>
  </si>
  <si>
    <t>Старый Оскол, АО "СОАТЭ"</t>
  </si>
  <si>
    <t>Саратов, ООО "СЭПО 3ЭМ"</t>
  </si>
  <si>
    <t>Кашин, АО "Кашинский завод электроаппаратуры"</t>
  </si>
  <si>
    <t>Зеленоград
АО "НПО Ангстрем"</t>
  </si>
  <si>
    <t>С-Петербург
АО "Лаборатория ППШ"</t>
  </si>
  <si>
    <t>Прибор ТВН-5М
Регулятор РТС-27-4МС
Прибор ТНП-165А</t>
  </si>
  <si>
    <t xml:space="preserve">
Насос топливный электрический</t>
  </si>
  <si>
    <t>Предохранитель ТП-600- 75 шт.
Предохранитель ТП-400 - 60 шт.</t>
  </si>
  <si>
    <t>Радиостанция портативная Р-187-П1 ПАКД 464113.005-04</t>
  </si>
  <si>
    <t>Изделие ЛГШ-689 БИЛЮ 464227.020</t>
  </si>
  <si>
    <t>Договор будет заключен 20.12.2024</t>
  </si>
  <si>
    <t>В связи с малым объемом, будет заключен рамочный договор в 1-2м кв. 2025 г.</t>
  </si>
  <si>
    <t>Договор будет заключен до 31.12.2024</t>
  </si>
  <si>
    <t>Обеспечено остатками по январь 2025г.Запрос будет направлен в октябре 24г, договор будет заключен в декабре 2024г.</t>
  </si>
  <si>
    <t>Обеспечено остатками по февраль 2025г.Запрос будет направлен в октябре 24г, договор будет заключен в декабре 2024г.</t>
  </si>
  <si>
    <t xml:space="preserve">Обеспечено остатками.Запрос будет направлен в октябре 24г, договор будет заключен в декабре 2024г. </t>
  </si>
  <si>
    <t>Обеспечено остатками</t>
  </si>
  <si>
    <t>оплачено 40%</t>
  </si>
  <si>
    <t>Аванс 40% оплачен 14.08</t>
  </si>
  <si>
    <t>Аванс 40% оплачен 15.08</t>
  </si>
  <si>
    <t>аванс 80% оплачен</t>
  </si>
  <si>
    <t>оплачено 80%</t>
  </si>
  <si>
    <t>Аванс оплачен в размере 40%</t>
  </si>
  <si>
    <t>1 кв. 25г.</t>
  </si>
  <si>
    <t>Оплачено 40%</t>
  </si>
  <si>
    <t>сентябрь 24г.</t>
  </si>
  <si>
    <t>оплачено 40% 38 295 153,50 оплачен 30.07.2024г.</t>
  </si>
  <si>
    <t>оплачено 40%. Платежку на 60% не согласовал 18 отд.</t>
  </si>
  <si>
    <t>Аванс 100% оплачен 18.07.</t>
  </si>
  <si>
    <t xml:space="preserve">оплачено 40% 803756,59 оплачен 09.08.2024г.(299 682,19 сальдо в пользу УРТ на 30.08.24). </t>
  </si>
  <si>
    <t>аванс 100% 26.06.2024г. - 275 975,00</t>
  </si>
  <si>
    <t>с разногл. (усл. опл) у поставщика с 27.08.24</t>
  </si>
  <si>
    <t>с разногл. (замеч 9 отд., неустойка) у поставщика с 27.08.24</t>
  </si>
  <si>
    <t>сентябрь</t>
  </si>
  <si>
    <t>договор заключен. Ждем счет и уведомление</t>
  </si>
  <si>
    <t>дог на согл в АСЭД (будет заключен)</t>
  </si>
  <si>
    <t>ООО "ТД ЕПК", г.Москва</t>
  </si>
  <si>
    <t>ООО "Квалитет-Авиа" г. Люберцы</t>
  </si>
  <si>
    <t>АО "Обнинскоргсинтез", г. Обнинск</t>
  </si>
  <si>
    <t>ООО "Обнинскоргсинтез", г.Обнинск</t>
  </si>
  <si>
    <t>ООО ПКФ "Нефтехимик", г. Пермь</t>
  </si>
  <si>
    <t xml:space="preserve">АО "УБТ-Уралвагонзавод", г. Нижний Тагил </t>
  </si>
  <si>
    <t xml:space="preserve">ООО "Профи", г.Екатеринбург                       </t>
  </si>
  <si>
    <t>Шумиха, ОАО "ШЗПИ"</t>
  </si>
  <si>
    <t>205/4279к</t>
  </si>
  <si>
    <t xml:space="preserve">№2233к/427 от 19.06.2024 по спецификации №2325187912341422241000262/2 от 19.06.2024 </t>
  </si>
  <si>
    <t>Завод 9 АО</t>
  </si>
  <si>
    <t>№2325187912341422241000262/510-1/1717/756к/429 от 30.11.2023г</t>
  </si>
  <si>
    <t>Пушка 2А46М-5-01 с ЗИП 
1 категории, Ключ РГМ ГОСТ В 23312-78</t>
  </si>
  <si>
    <t>№2325187912341422241000262/8261-2/11ВП/5192к/429 от 31.10.2023г</t>
  </si>
  <si>
    <t>Манометр  МТ-60УП 250/170</t>
  </si>
  <si>
    <t xml:space="preserve">Редуктор воздушный ИЛ611-150-25К,Прибор автоматики согласующий,Пусковое устройство стартера   ЭлектРомагнит кардана,Выключатель батарей ВБ-404-1С,Агрегат заправочный малогабаритный МЗА-3 </t>
  </si>
  <si>
    <t xml:space="preserve"> ТВН-5М
РТС-27-4                                                           ТНП-165А
ТНПО-160
ТНПА-65А
ТНПО-168В 
 ТВКТ-65Н  </t>
  </si>
  <si>
    <t>оплачено 40% - 16.08.2024 (Договор заключен)
До 80% оплачено 30.08.2024</t>
  </si>
  <si>
    <t xml:space="preserve">Аванс 40% на сумму 2 723 472,00 оформлен. Не оплачен  </t>
  </si>
  <si>
    <t>40% оплачено - 30.07.2024 (Договор заключен)</t>
  </si>
  <si>
    <t>100% оплачено - 25.07.2024 (Договор заключен)</t>
  </si>
  <si>
    <t>Протокол разногласий на стороне Поставщика</t>
  </si>
  <si>
    <t>Ожидается договор от Поставщика</t>
  </si>
  <si>
    <t>октябрь 24г.</t>
  </si>
  <si>
    <t>Договор на согласовании в АСЭД</t>
  </si>
  <si>
    <t>ДС с ПР (по условиям платежа) на согласовании в АСЭД</t>
  </si>
  <si>
    <t>100%  оплачено - 16.05.2024 (Договор заключен)</t>
  </si>
  <si>
    <t>Договор заключен 100% оплачено - 30.05.2024</t>
  </si>
  <si>
    <t>Договор заключен 100% опалчено - 24.06.2024</t>
  </si>
  <si>
    <t>Договор заключен 100% оплачено - 16.05.2024</t>
  </si>
  <si>
    <t>Договор заключен 100% оплачено - 19.07.2024</t>
  </si>
  <si>
    <t>Договор заключен 100% оплачено - 06.08.2024</t>
  </si>
  <si>
    <t>Договор заключен 100% оплачено - 29.05.2024</t>
  </si>
  <si>
    <t>оплачено 60%</t>
  </si>
  <si>
    <t>оплачено 55%</t>
  </si>
  <si>
    <t>Аванс оплачен в размере 60% за 55 изд.</t>
  </si>
  <si>
    <t>Аванс оплачен в размере 40% за 153 изд.</t>
  </si>
  <si>
    <t>1 квартал 2025г.</t>
  </si>
  <si>
    <t>оплачено 50%</t>
  </si>
  <si>
    <t>оплачено 100%</t>
  </si>
  <si>
    <t>Аванс оплачен в размере 40% за 208 изд.</t>
  </si>
  <si>
    <t>Договор заключен 60% оплачено - 05.07.2024</t>
  </si>
  <si>
    <t>Договор заключен 60% оплачено - 08.08.2024</t>
  </si>
  <si>
    <t xml:space="preserve"> -</t>
  </si>
  <si>
    <t>Аванс 100% сдан 14.08. не оплачен</t>
  </si>
  <si>
    <t>оплачно 80%</t>
  </si>
  <si>
    <t>Оплачено 40% по цене двигателей В-92С2</t>
  </si>
  <si>
    <t>4 квартал 2024г.</t>
  </si>
  <si>
    <t>сдана платежка 40% 25.07.24</t>
  </si>
  <si>
    <t>октябрь 2024г.</t>
  </si>
  <si>
    <t>сентябрь 2024г.</t>
  </si>
  <si>
    <t>29.08.24 - отправлен поставщику
с догов. письмом (неустойка и спец на 24 год)</t>
  </si>
  <si>
    <t>Спецификация на оформлении у Поставщика. Все существенные условия договора урегулированы на ВКС</t>
  </si>
  <si>
    <t>ООО"ПРОФИ" г.Екатеринбург</t>
  </si>
  <si>
    <t xml:space="preserve">№2233к/427 от 19.06.2024 по спец. №2325187912351422241015207/3 от 19.06.2024 </t>
  </si>
  <si>
    <t>исполнен</t>
  </si>
  <si>
    <t>Смазка DR</t>
  </si>
  <si>
    <t>Оплачен 26.08.2024</t>
  </si>
  <si>
    <t>Пушка 2А46М-5-01   2А46М.УК с ЗИП (или 2А46М-5Р-01  2А46М.УК2 или 2А46М-5-01 2А46М-4 ТУ с ЗИП)</t>
  </si>
  <si>
    <t>2325187312351422241015207/510-1/159/4166к/429 от 20.09.2023</t>
  </si>
  <si>
    <t>Агрегат МЗА-3,Редуктор ИЛ 611-150-25-К
Редуктор ИЛ611-150-7К</t>
  </si>
  <si>
    <t xml:space="preserve">Система управления дистанционной пулеметной установкой 
МКРН.461119.009, Стабилизатор танкового вооружения (СТВ) МКРН.462534.053 
МКРН.462534.053 ТУ </t>
  </si>
  <si>
    <t>Москва, АО "НИМИ"им. В.А. Бахирева</t>
  </si>
  <si>
    <t xml:space="preserve">№2325187912351422241015207/112-2023/УВЗ/4857к/429 от 25.09.2023 </t>
  </si>
  <si>
    <t>Выстрел 3ВБМ-17, выстрел 3БК18(3ОФ26,3П11)</t>
  </si>
  <si>
    <t>Прибор выверки УПВ-125-01 
55-432-Сб0-01 в футляре 55-438-Сб0</t>
  </si>
  <si>
    <t>№ 2325187912351422241015207/2765к/429 от 06.07.2023</t>
  </si>
  <si>
    <t xml:space="preserve">№2325187912351422241015207/530.2592/2023/4163к/429 от 13.09.2023 </t>
  </si>
  <si>
    <t xml:space="preserve">Пульт наведения
ИЮМК.468312.009 </t>
  </si>
  <si>
    <t>Оплата 50%, доплата в 1 кв.2025</t>
  </si>
  <si>
    <t>Единственный поставщик (производитель) включенный в МОП сообщил что лишен допуска к изготовлению данного материала. Ожидается официальный ответ.</t>
  </si>
  <si>
    <t>направлены запросы в адрес потенциальных поставщиков для самостоятельного проведения закупки ( не через АО УБТ-УВЗ). По состоянию на 31.08.2024г ответов нет.</t>
  </si>
  <si>
    <t>оплачено - 22.07.2024</t>
  </si>
  <si>
    <t xml:space="preserve">Аванс 40% оплачен 02.08.
Необходимо доавансирование до 80%
</t>
  </si>
  <si>
    <t>Аванс оплачен в размере 40%
Необходимо доавансирование до 80%</t>
  </si>
  <si>
    <t>оплачен аванс 100%</t>
  </si>
  <si>
    <t>оплачено - 29.03.2024</t>
  </si>
  <si>
    <t>оплачено - 18.07.2024</t>
  </si>
  <si>
    <t>оплчен аванс 40% 18.07.2024</t>
  </si>
  <si>
    <t>нет счета</t>
  </si>
  <si>
    <t>Оплачено 40 %, неообходимо до авансирования до 80%</t>
  </si>
  <si>
    <t>Оплачено 40%
Необходимо доавансирование до 80%</t>
  </si>
  <si>
    <t>2224187315101412241211123/5419к/429 от 07.11.2023 в ред. ДС1 от 02.05.2024</t>
  </si>
  <si>
    <t>Продукция поставлена 30.08.2024</t>
  </si>
  <si>
    <t>На согласовании в АСЭД</t>
  </si>
  <si>
    <t>заключен - 13.08.2024 г.
ждем счет на предоплату</t>
  </si>
  <si>
    <t>Договор на согласовании у служб Общества</t>
  </si>
  <si>
    <t>2224187315101412241211123/2865к/429/0493-СБ/2024 от 17.06.2024</t>
  </si>
  <si>
    <t>Заключен</t>
  </si>
  <si>
    <t>Цена не согласована. Срок до конца сентября.</t>
  </si>
  <si>
    <t>Письмо о согласовании разногласий у поставщика на согласовании с 16.08.2024г. в части замечаний 59</t>
  </si>
  <si>
    <t>Договор с ПР у поставщика с 17.08.2024</t>
  </si>
  <si>
    <t>договор  с протоколом  разногласий. Замечания упр.16 по пунктам Постановления Правительства и по условиям оплаты) у поставщика с 13.08.24</t>
  </si>
  <si>
    <t>2224187315101412241211123/06/221/5971к/429 от 28.10.2022 в ред. ДС № ДС 29/05/2024 от 29.05.2024</t>
  </si>
  <si>
    <t>ДС с ПР (по условиям платежа) на согласовании у поставщика с 01.08.2024</t>
  </si>
  <si>
    <t>Договора нет. Заявка №429-88/1115 от 12.08.2024г.</t>
  </si>
  <si>
    <t>Заключен                           100% оплачен - 01.07.2024        Исполнен</t>
  </si>
  <si>
    <t>Аванс 20% 84 819 867,12 руб - оплачен 15.07.2024г.
Аванс 20% 84 819 867,12 руб - оплачен 31.07.2024г.</t>
  </si>
  <si>
    <t>оплачено - 19.07.2024 г.</t>
  </si>
  <si>
    <t>22.08.24г.</t>
  </si>
  <si>
    <t xml:space="preserve"> Аванс 40% сдана 22.08.2024г.</t>
  </si>
  <si>
    <t>Аванс 80% оплачен 24.07.</t>
  </si>
  <si>
    <t>оплачено - 18.07.2024 г.</t>
  </si>
  <si>
    <t xml:space="preserve">аванс 40% за 180 шт.за 25 г. оплачено 05,08.24г необходима доплата до 80% </t>
  </si>
  <si>
    <t>аванс 20% на сумму 7 194 156,64 оплачен 18.07.2024
авнас 20% до 40% на сумму 7 194 156,64 оплачен 31.07.2024</t>
  </si>
  <si>
    <t>80% оплачен - 05.08.2024 (договор заключен)</t>
  </si>
  <si>
    <t>Оплачено 40%.Необходимо доавансировать до 80%.</t>
  </si>
  <si>
    <t>Аванс 40% оплачен, необходимо доавансирование до 80%</t>
  </si>
  <si>
    <t>оплачено - 09.08.2024 г.</t>
  </si>
  <si>
    <t>Оплачено 50%</t>
  </si>
  <si>
    <t>аванс 20% на сумму 3 293 260,99 руб оплачен 18.07.2024
авнас 20% до 40% на суммму 3 293 260,99 руб оплачен 05.08.2024</t>
  </si>
  <si>
    <t>оплачен аванс 40%</t>
  </si>
  <si>
    <t xml:space="preserve"> Оплачено 40%</t>
  </si>
  <si>
    <t>сентябрь 204г.</t>
  </si>
  <si>
    <t>Договор заключен                         Ждем уведомление об открытии счета Поставщика</t>
  </si>
  <si>
    <t>оплачен 100%</t>
  </si>
  <si>
    <t>аванс 80%</t>
  </si>
  <si>
    <t>Аванс оплачен в размере 80%</t>
  </si>
  <si>
    <t>Дополнительное 
соглашение заключено 
Проавансировано 40% 09.08.2024г.</t>
  </si>
  <si>
    <t>Аванс оплачен в размере 100%</t>
  </si>
  <si>
    <t>40% оплачено 05.08.2024</t>
  </si>
  <si>
    <t>2226187415091412241009022/4798к/429/0623-СБ/2022 от 17.10.2022 в ред. ДС 7 от 16.05.2024</t>
  </si>
  <si>
    <t>2226187415091412241009022/968сб/3175к/429 от 12.04.2024</t>
  </si>
  <si>
    <t>не заключен</t>
  </si>
  <si>
    <t>поставка стартер-генераторов СГ-18</t>
  </si>
  <si>
    <t>Догово с ПР у поставщика на согласовании с 21.08.2024 в части цены и у/о</t>
  </si>
  <si>
    <t>Аванс 40% оплачен 06.08.2024г.</t>
  </si>
  <si>
    <t>40% оплачено 15.08.2024</t>
  </si>
  <si>
    <t>аванс оплачен в размере 80%</t>
  </si>
  <si>
    <t>2226187415091412241009022/06/165/3900к/429 от 29.06.2023 в ред. ДС № ДС 19/04/2024 от 19.04.2024г.</t>
  </si>
  <si>
    <t>Договор на согласовании у Поставщика с протоколом разногласием в части согласования сроков поставки</t>
  </si>
  <si>
    <t>2226187415091412241009022/1932сб/4342к/429 от 31.07.2023 в ред. ДС 1 от 29.12.2023</t>
  </si>
  <si>
    <t>Поставка сигнала звукового; гибкого вала ГВ301М-01, ГВ301М-02</t>
  </si>
  <si>
    <t>Догово с ПР у поставщика на согласовании с 23.08.2024 в части цены и у/о</t>
  </si>
  <si>
    <t>Ожидается договор от Поставщика. Все существенные условия договора урегулированы на ВКС</t>
  </si>
  <si>
    <t>ожидается договор от Поставщика</t>
  </si>
  <si>
    <t>ждем счет на предоплату</t>
  </si>
  <si>
    <t>29.08.2024г ПСР направлен поставщику  по усл опл.</t>
  </si>
  <si>
    <t>ДС к договору на регистрации с ПР в части условий оплаты в управлении 16 с 30.08.24</t>
  </si>
  <si>
    <t>20.09.</t>
  </si>
  <si>
    <t>Ориентировочной цены на 2025 год нет.</t>
  </si>
  <si>
    <t>Заявка №429-88/1000 от 17.07.2024</t>
  </si>
  <si>
    <t xml:space="preserve">оплачено - 19.07.2024 г. </t>
  </si>
  <si>
    <t>Аванс оплачен</t>
  </si>
  <si>
    <t>аванс 40%  за 55 шт поставку в  25г. оплачен 26.07.24 необходима доплата до 80%</t>
  </si>
  <si>
    <t xml:space="preserve">аванс 40% за 153 шт поставка 25г оплачен 26.07.24  необходима доплата до 80% </t>
  </si>
  <si>
    <t>аванс 40% за 153  изд. оплачен</t>
  </si>
  <si>
    <t>ДС №5 не заключено. СЗ по условиям оплаты на подписи с 30.08. Платежка до 40% сдана 14.08.</t>
  </si>
  <si>
    <t>2225187325911422241000261/1/54/23/5751к/429 от 26.07.2022 Спецификация 3</t>
  </si>
  <si>
    <t>2225187325911422241000261/1/170/24/3979к/429 в ред. ДС3 от 19.06.2024</t>
  </si>
  <si>
    <t>оплачено 40% за 153 изд.</t>
  </si>
  <si>
    <t>оплачено 60% за 55 изд.</t>
  </si>
  <si>
    <t>Аванс 40% оплачен, необходима доплата до 80%</t>
  </si>
  <si>
    <t>2225187325911422241000261/1942сб/5203к/429 от 25.08.2022 Спецификация 3</t>
  </si>
  <si>
    <t>аванс в размере 60% оплачен за 55 изд.</t>
  </si>
  <si>
    <t>аванс 60% (55 изд.) оплачен</t>
  </si>
  <si>
    <t>аванс 40% (153 изд) оплачен</t>
  </si>
  <si>
    <t>Платить аванс не нужно</t>
  </si>
  <si>
    <t>C разногласиями (усл. опл) у поставщика с 28.08.24</t>
  </si>
  <si>
    <t>Окончательный расчет после уведомления от Поставщика о готовности</t>
  </si>
  <si>
    <t>Аванс 40% оплачен 12.07.2024</t>
  </si>
  <si>
    <t>Договор заключен. Счет есть.</t>
  </si>
  <si>
    <t>аванс 40% за 55 шт за 25г оплачен 05.08.24, необходима доплата до 80%</t>
  </si>
  <si>
    <t>аванс 40% за 153 шт за 25г оплачен 05.08.24, необходима доплата до 80%</t>
  </si>
  <si>
    <t>оплачено 100% 19.07.24 -898 050,00</t>
  </si>
  <si>
    <t xml:space="preserve">оплачено - 21.06.2024 г. </t>
  </si>
  <si>
    <t xml:space="preserve">оплачено - 21.06.2024 г. 
оплачено - 20.08.2024 г. </t>
  </si>
  <si>
    <t>оплачено - 22.02.2024</t>
  </si>
  <si>
    <t>оплачено - 26.02.2024</t>
  </si>
  <si>
    <t>2225187325911422241000261/429 от 01.01.2024 55 изд.</t>
  </si>
  <si>
    <t>Заявка отправлена 02.09.2024</t>
  </si>
  <si>
    <t xml:space="preserve">2225187325911422241000261/1663сб/3190кк/429 от 02.07.2024 </t>
  </si>
  <si>
    <t>Договор с ПР у поставщика на согласовании с 23.08.2024 в части цены и у/о</t>
  </si>
  <si>
    <t>2225187325911422241000261/1874сб/6698к/429 от 15.08.2022 спецификация 3 (55 изд.)</t>
  </si>
  <si>
    <t>22251873259114222410002611147сб/3193к/429 от 26.04.2024 (197 изд.)</t>
  </si>
  <si>
    <t>Договор с протоколом разногласием на согласовании в службах Общества. Срок подписания - 10.09.2024 г.</t>
  </si>
  <si>
    <t xml:space="preserve">Договор 2225187325911422241000261/216к/429 от 21.11.2023г. В ред. ДС 1 от 27.05.2024 </t>
  </si>
  <si>
    <t>Договор не представлен. Нет цен на 2025г.</t>
  </si>
  <si>
    <t>4 кв. 2024</t>
  </si>
  <si>
    <t>заключен - 20.08.2024</t>
  </si>
  <si>
    <t>2225187325911422241000261/06/6525/429 от 30.11.2022 в ред. ДС № ДС19/04/2024 от 19.04.2024 (197 изд.)</t>
  </si>
  <si>
    <t>Заявка №429-88/0740 от 11.08.2022г.</t>
  </si>
  <si>
    <t>Зваявка №429-88/0854 от 19.06.2024г.</t>
  </si>
  <si>
    <t>Договор будет заключен до 31.01.2025</t>
  </si>
  <si>
    <t>Барнаул, АО  "Барнаульский патронный  з-д"</t>
  </si>
  <si>
    <t xml:space="preserve">2325187912351422241015207/2911к/429 от 17.07.2023 </t>
  </si>
  <si>
    <t>Пиропатрон  ППЛ 9-А-433 
9-А-433 ТУ</t>
  </si>
  <si>
    <t>Продукция получена за 2024-2025. Необходим ок расчет</t>
  </si>
  <si>
    <t>Екатеринбург, АО "Завод №9"</t>
  </si>
  <si>
    <t>Казань, АО "Теплоконтроль"</t>
  </si>
  <si>
    <t>№2325187912351422241015207/8261-2/9ВП/3286к/429 от 19.07.2023</t>
  </si>
  <si>
    <t>Манометр                         
МТ-60УП 250/170</t>
  </si>
  <si>
    <t>Ковров, ОАО "ЗиД"</t>
  </si>
  <si>
    <t>№2325187912351422241015207/4363к/429 от 12.11.2023</t>
  </si>
  <si>
    <t>Аванс 40% за 2025 год оплачен 26.07.2024г. Необходимо доавансировать до 80%.</t>
  </si>
  <si>
    <t xml:space="preserve">Ковров, АО "КЭМЗ" </t>
  </si>
  <si>
    <t>№2325187912351422241015207/160/931/3932к/429 от 11.07.23г</t>
  </si>
  <si>
    <t>Аванс 40% оплачен
Необходимо доавансирование</t>
  </si>
  <si>
    <t>№2325187312351422241015207/40/451-23/3909к/429 от 25.10.2023г</t>
  </si>
  <si>
    <t>Нижний Тагил, АО "УКБТМ"</t>
  </si>
  <si>
    <t>№ 2325187912351422241015207/8242/3044к/429 от 24.07.2023</t>
  </si>
  <si>
    <t>Моноблок ДГУ10
188МС.39.101сб-1
188МС.39.001ТУ</t>
  </si>
  <si>
    <t>Необходима доплата до 50%</t>
  </si>
  <si>
    <t>Санкт-Петербург, АО "ВНИИТрансмаш"</t>
  </si>
  <si>
    <t xml:space="preserve">2325187912351422241015207/3604941/335к/429 от </t>
  </si>
  <si>
    <t>Муром, ООО "ПО"МЗКО"</t>
  </si>
  <si>
    <t>отопитель  ОС -4 У2-24-10 - 15 шт.</t>
  </si>
  <si>
    <t>Брянск, ООО "ТД "БАК"</t>
  </si>
  <si>
    <t>заключен (по письму)</t>
  </si>
  <si>
    <t>Кран ПС7-0
ТУ РБ03973223.008-2000</t>
  </si>
  <si>
    <t>оплата по счету</t>
  </si>
  <si>
    <t>Вологда, АО "ВОМЗ"</t>
  </si>
  <si>
    <t xml:space="preserve">аванс 40% за 15 шт 25г оплачен 09.08.24, необходимо доавансирование до 80% </t>
  </si>
  <si>
    <t xml:space="preserve">Жуковский, АО НПК "Альфа-М" </t>
  </si>
  <si>
    <t>№2325187912351422241015207/1631-2023/4263к/429 от 07.09.2023</t>
  </si>
  <si>
    <t>Видеомодуль АМВМ 1024х768.0,131 или ВСУ-ГИП 768х576.0,145
Система наружного видеонаблюдения 
СНВ-2  НКУГ.468369.001 ТУ</t>
  </si>
  <si>
    <t>Казань, АО НПО "ГИПО" (Вологда, АО "ВОМЗ")</t>
  </si>
  <si>
    <t xml:space="preserve">№2325187912351422241015207/1561/580/4248к/429 от 05.10.2023 
</t>
  </si>
  <si>
    <t>Канал тепловизионный ТПВК-А-РСS 
АД2.823.123-01.04</t>
  </si>
  <si>
    <t>Красногорск, ПАО "З-д им. Зверева" (КМЗ)
РОСТЕХ (Швабе)</t>
  </si>
  <si>
    <t>№2325187912351422241015207/376/5-23/3974к/429 от 18.09.2023</t>
  </si>
  <si>
    <t>Канал тепловизионный ТПК-К
БЛ2.056.027-03  БЛ2.056.027ТУ
Стекло защитное БЛ8.640.584</t>
  </si>
  <si>
    <t>Минск, ОАО "Пеленг"</t>
  </si>
  <si>
    <t>№ 2325187912351422241015207/3874к/429 от 07.09.2023</t>
  </si>
  <si>
    <t xml:space="preserve">Аппаратура прицела наводчика многоканального (ПНМ-Т) 7197.01.00.000      
7197.00.00.000 ТУ в составе:
Аппаратура прицела командира панорамного (ПКП-Т) 
7199.01.00.000
7199.00.00.000 ТУ в составе:
Прицел дублер телевизионный (ПДТ)
Аппаратура сопряжения и ввода поправок (АС и ВП) 
Датчик изгиба 
</t>
  </si>
  <si>
    <t>АО "ОКБ "Кристалл"</t>
  </si>
  <si>
    <t>№2325187912351422241015207/ПГ/12/22/001-24 рамоч дог 30.06.2023 №ПГ/12/22/752к от 24.11.2021г</t>
  </si>
  <si>
    <t>Тахогенератор ТГП-1</t>
  </si>
  <si>
    <t>Невьянск, АО "НМЗ"</t>
  </si>
  <si>
    <t>№2325187912351422241015207/213/3969к/429 от 15.08.2023</t>
  </si>
  <si>
    <t>Нагнетатель 434.87.003сб</t>
  </si>
  <si>
    <t>Обнинск, ПАО ПЗ "Сигнал"</t>
  </si>
  <si>
    <t>№2325187912351422241015207/47-24/598-23/4018к/429 от 25.08.2023</t>
  </si>
  <si>
    <t>Приборный комплекс ПКУЗ-1А (в комплектации АЕД1.570.001-01 индекс Б) с ЗИП</t>
  </si>
  <si>
    <t>Ростов, ПАО "РОМЗ"</t>
  </si>
  <si>
    <t>23251879123514222410115207/431/1287/2023/924к/429 от 04.12.2023</t>
  </si>
  <si>
    <t>Датчик положения пушки
АДШ 2.320.003 ТУ
Блок защиты БЛ4.811.004 с ЗИП</t>
  </si>
  <si>
    <t>Договор заключен. 40% аванс оплачен 30.07.2024г.</t>
  </si>
  <si>
    <t>Саранск, АО "СПЗ"</t>
  </si>
  <si>
    <t>Датчик наличия воды 11.3845020
ТУ 23.3.37-88</t>
  </si>
  <si>
    <t>Сергиев-Посад, АО "ЗОМЗ"</t>
  </si>
  <si>
    <t xml:space="preserve">2325187912351422241015207/41/2024/13 </t>
  </si>
  <si>
    <t>Датчик числа оборотов ИС-445 БШ2.780.009ТУ</t>
  </si>
  <si>
    <t>Симферополь, АО "Завод Фиолент"</t>
  </si>
  <si>
    <t>№2325187912351422241015207/25346/4669к/429 от 08.08.2023</t>
  </si>
  <si>
    <t>Трансформатор 2,5ВТ-0,05/0,2 ЛШ3.010.394   ЛШО.301.014 ТУ</t>
  </si>
  <si>
    <t>№2325187912351422241015207/4224к/429 от 04.10.2023</t>
  </si>
  <si>
    <t xml:space="preserve">Блок цифровой обработки изображения НКШР.466535.065
НКШР.466535.065 ТУ
Блок коммутации видеосигналов 
НКШР.468363.035
НКШР.468363.035 ТУ
</t>
  </si>
  <si>
    <t>заключен 21.08.2024 года</t>
  </si>
  <si>
    <t>Ульяновск, АО "УКБП"</t>
  </si>
  <si>
    <t>№2325187912351422241015207/5юр-1775/23/4835к /429 от 07.09.2023</t>
  </si>
  <si>
    <t>Сигнализатор СДУ1А-0,12</t>
  </si>
  <si>
    <t>Феодосия, АО "Феодосийский казенный оптический завод" или Красногорск, ОАО "З-д им. Зверева"</t>
  </si>
  <si>
    <t>№2325187912351422241015207/1449к/429 от 24.04.2024</t>
  </si>
  <si>
    <t>Датчик ветра ДВ-Е с комплектом инструмента и принадлежностей                                БЛ2.320.076 или датчик ветра емкостный БЛ2.320.062 с ЗИП</t>
  </si>
  <si>
    <t>аванс 40% за 15 шт 25г оплачен 26.07.24, необходимо доавансирование до 80%</t>
  </si>
  <si>
    <t>Электросталь, ОАО "ЭХМЗ"</t>
  </si>
  <si>
    <t>№2325187912351422241015207/239/167к/429 от 13.11.2023</t>
  </si>
  <si>
    <t>Фильтр-поглотитель 
ФПТ-100Б</t>
  </si>
  <si>
    <t>Заявка №429-88/0917 от 22.06.2023г.</t>
  </si>
  <si>
    <t>Киров, АО "ЭМСЗ ЛЕПСЕ"</t>
  </si>
  <si>
    <t>№2325187912351422241015207/ДИ-55-0787-23-ГОЗ/3750к/429 от 05.07.2023 (вед.-спец. №1 от 06.07.2023)</t>
  </si>
  <si>
    <t>Микровыключатель А812К</t>
  </si>
  <si>
    <t>Москва, ООО "Мосавтостекло"</t>
  </si>
  <si>
    <t>№2325187912351422241015207/67мас/07/4104к/429 от 03.07.2023</t>
  </si>
  <si>
    <t>Стекло 188.04.231сб (432.04.558 или 54.29.531-А)</t>
  </si>
  <si>
    <t xml:space="preserve">Омск, АО НПП "Эталон" </t>
  </si>
  <si>
    <t>Приемник термометра сопротивления П-1 МКСН.405219.023ТУ (ТУ В25-7529.001-87)</t>
  </si>
  <si>
    <t>Саранск, АО "Саранский приборостроительный  з-д"
АО  "СПЗ"</t>
  </si>
  <si>
    <t xml:space="preserve">№2325187912351422241015207/339/3512к/429 от 27.06.2023.
</t>
  </si>
  <si>
    <t>Сигнализатор СД,
Датчик Д-4 магнитомндукционного тахометра, 
Приемник давления ИД-2-0,7 Мпа, 
Приемник давления ИД-2-1,5 Мпа-Д</t>
  </si>
  <si>
    <t>№2325187912351422241015207/527/2470к/429 от 11.03.2024</t>
  </si>
  <si>
    <t>Электромагнит РС 335</t>
  </si>
  <si>
    <t xml:space="preserve">Томск, АО "ТЭТЗ" </t>
  </si>
  <si>
    <t>№2325187912351422241015207/3652к/429/0583-СБ/2023 от 28.08.2023</t>
  </si>
  <si>
    <t xml:space="preserve">Топливный центробежный насос ТЦН-1 </t>
  </si>
  <si>
    <t>Уфа, АО УАП "Гидравлика" или АО "УАПО"</t>
  </si>
  <si>
    <t xml:space="preserve">№2325187912351422241015207/58БД-12/23-186/3514к/429 от 23.06.20023 </t>
  </si>
  <si>
    <t>Автомат АЗР-2 или АЗРГ-2-2С</t>
  </si>
  <si>
    <t>Челябинск, АО НПО "Электромашина</t>
  </si>
  <si>
    <t>№2325187912351422241015207/3905к/429/150Д-0671-23/00-5207 от 13.09.2023г</t>
  </si>
  <si>
    <t>с приемкой ВП 
Система ЗЭЦ13-1 с ЗИП 
Система АЗ185М2 с ЗИП</t>
  </si>
  <si>
    <t>№2325187912351422241015207/150Д-0608-23/00-5207/3858к/429 от 24.08.23г</t>
  </si>
  <si>
    <t>с приемкой ОТК</t>
  </si>
  <si>
    <t>Челябинск, АО СКБ "Турбина"</t>
  </si>
  <si>
    <t>Электропневмоклапан 
ЭПК 219-09-сб319</t>
  </si>
  <si>
    <t>№2325187912351422241015207/70/72/4133к/429 от 12.07.2023</t>
  </si>
  <si>
    <t>Вентилятор с электродвигателем ДВ-3Эл.клапан МКТ-17Б</t>
  </si>
  <si>
    <t>Красный Кут, ООО "КЭМЗ"</t>
  </si>
  <si>
    <t>№2325187912351422241015207/11/6/4130к/429 от 28.06.2023</t>
  </si>
  <si>
    <t>Электровоздушный клапан ЭК-48 
135 шт. 2024г., 135 шт. -2025г.</t>
  </si>
  <si>
    <t>Елец, АО "Энергия"</t>
  </si>
  <si>
    <t xml:space="preserve">2325187912351422241015207/24п/7-474/3846к/429 от 08.08.2023 </t>
  </si>
  <si>
    <t>Батарея тепловая БТ-5К-1 ЖШИЦ.563223.001-01 ТУ</t>
  </si>
  <si>
    <t>Елец, АО "Елецгидроагрегат"</t>
  </si>
  <si>
    <t>№2325187912351422241015207/258/4128к/429 от 28.06.2023</t>
  </si>
  <si>
    <t xml:space="preserve">Насос откачивающий правый 172.46.001сб-4 - 15 шт.
Насос 172.46.002сб-1 - 15 шт.
Насос откачивающий левый 172.46.017сб-15шт.
Насос нагнетающий 142.46.001сб -15шт.
Мех.распред.правый 172.62.001сб-2 - 15 шт.
Мех.распред.правый 172.62.002сб-2 - 15 шт.
</t>
  </si>
  <si>
    <t>аванс 40% на сумму  4 550 456,52 руб. опачен</t>
  </si>
  <si>
    <t>Каменск-Уральский, АО "КУЛЗ"</t>
  </si>
  <si>
    <t xml:space="preserve">№2325187912351422241015207/3707к/429 от 31.08.2023 </t>
  </si>
  <si>
    <t>Диск 172.40.032сб</t>
  </si>
  <si>
    <t>аванс оплачен 40%</t>
  </si>
  <si>
    <t xml:space="preserve">Счет-договор №2325187912351422241015207/2823 /2306к/429 от 03.06.2024 </t>
  </si>
  <si>
    <t>Предохранитель ТП-250</t>
  </si>
  <si>
    <t>счет -договор № 2325187912351422241015207/2822 от 03.06.2024</t>
  </si>
  <si>
    <t>Москва, АО "МПО им. И. Румянцева"</t>
  </si>
  <si>
    <t>№2325187912351422241015207/3025к/429/РИ-02/03/02Р/801-23 от 24.07.2023</t>
  </si>
  <si>
    <t>Компрессор АК150СВ-Ю,Автомат АДУ</t>
  </si>
  <si>
    <t>ООО "Газхолодтехника"</t>
  </si>
  <si>
    <t>№2325187912351422241015207/3683к/429 от 30.08.2023</t>
  </si>
  <si>
    <t>Радиатор водяной левый  188МС.31.002сб</t>
  </si>
  <si>
    <t>оплачен аванс в размере 40%</t>
  </si>
  <si>
    <t>Пенза, ОАО "Пензенский арматурный завод"</t>
  </si>
  <si>
    <t>№2325187912351422241015207/404/08/3708к/429 от 15.08.2023</t>
  </si>
  <si>
    <t>Клапан угловой цапковый 15с13бк1 DN 6 PN 2,5 Мпа ТУ 3742-006-05749381-94 или вентиль запорный угловой 15с13бк1 (КЗ 24028.006) Ду 6мм ТУ 26-07-1380-85</t>
  </si>
  <si>
    <t>№2325187912351422241015207/479/05/2477к/429 от 23.05.2024г по счету №687 от 02.08.2024</t>
  </si>
  <si>
    <t>Челябинск, ООО "Урал СпецСталь"</t>
  </si>
  <si>
    <t xml:space="preserve">№2325187912351422241015207/5207к/429 от 04.12.2023г </t>
  </si>
  <si>
    <t>Корпус 172.70.402А
Крышка
Корпус левый,правый</t>
  </si>
  <si>
    <t>аванс оплачен в размере 40%</t>
  </si>
  <si>
    <t>Миасс, ОАО "Миассэлектроаппарат"</t>
  </si>
  <si>
    <t xml:space="preserve">№2325187912351422241015207/1017к/429 от 27.03.2024 </t>
  </si>
  <si>
    <t>Насос МЗН-2 
(172.32.219ТУ или ТУ23.108-199-92)</t>
  </si>
  <si>
    <t>оплачен аванс в размере 80%</t>
  </si>
  <si>
    <t>Алатырь, АО "Электроавтомат"</t>
  </si>
  <si>
    <t xml:space="preserve">№2325187912351422241015207/349/04/2023-ЭА/2/3644к/429 от 29.06.2023 </t>
  </si>
  <si>
    <t>Кнопка 2КР или 205К
Переключатель ВНГ-15К</t>
  </si>
  <si>
    <t>Воронеж, АО "Концерн "Созвездие"</t>
  </si>
  <si>
    <t>№232518791235142224101507/57.877/2023/3948к/429 от 03.07.2023</t>
  </si>
  <si>
    <t>Программно-технический комплекс для Т-90М   ИТНЯ.469679.004-02
в составе:
Шлемофон ТШ-4М-З-01-003</t>
  </si>
  <si>
    <t>Казань, АО "Элекон"</t>
  </si>
  <si>
    <t>№2325187912351422241015207/ЭЛ24-004939/732/890к/429 от 15.02.2024</t>
  </si>
  <si>
    <t>Вилка.розетка</t>
  </si>
  <si>
    <t>Осташков, АО "Завод Луч"</t>
  </si>
  <si>
    <t>№2325187912351422241015207/1/132/24/3037к/429 от 04.07.2023 спец.2</t>
  </si>
  <si>
    <t>Фонарь электрический светосигнальный 6Э2 СИБЕ.676276.002 СИБЕ.676276.002 ТУ
2024г.- 15 шт.
2025 г.- 15 шт.</t>
  </si>
  <si>
    <t>С-Петербург, ЗАО "Электротяга"</t>
  </si>
  <si>
    <t>№2325187912351422241015207/6/169/3922к/429 от  04.07.2023</t>
  </si>
  <si>
    <t>Аккумулятор 12СТ-85РМ 
(76 шт. - 2025)</t>
  </si>
  <si>
    <t>Ожидание предоставления счета</t>
  </si>
  <si>
    <t>Томск, АО "ТЭТЗ"</t>
  </si>
  <si>
    <t xml:space="preserve">2325187912351422241015207/3790к/429 от 06.09.2023 спец 2 </t>
  </si>
  <si>
    <t>Комплект преобразователя 
ПТ-800 с блоком РЧН 3/3</t>
  </si>
  <si>
    <t>Вронеж "Электросигнал"</t>
  </si>
  <si>
    <t>№2325187912351422241015207/010/240/24/4293к/429 от 26.09.2023</t>
  </si>
  <si>
    <t xml:space="preserve">Комплект ЗИП-О антенны Р-168 БШПА-06 </t>
  </si>
  <si>
    <t>Рязань "ОА Рязанский Радиозавод"-РУСАудио"
(АО "РРЗ-РУСАудио")</t>
  </si>
  <si>
    <t>№2325187912351422241015207/268/2023/4655к/429 от 20.09.2023г</t>
  </si>
  <si>
    <t xml:space="preserve">Антенна СК-Б ИТНЯ.464651.164-01 </t>
  </si>
  <si>
    <t>№2325187912351422241015207/3196к/429 от 21.08.2024</t>
  </si>
  <si>
    <t>Екатеринбург, АО "Уралтрансмаш"</t>
  </si>
  <si>
    <t>№2325187912351422241015207/4108к/429 от 25.09.2023</t>
  </si>
  <si>
    <t>Нагнетатель 18.01.002-А</t>
  </si>
  <si>
    <t>аванс 40% оплачен (401 878,30), остаток 10%</t>
  </si>
  <si>
    <t>Екатеринбург, ООО "Уральский шинный з-д"</t>
  </si>
  <si>
    <t xml:space="preserve">№2325187912351422241015207/3295к/429/401 от 08.08.2023 </t>
  </si>
  <si>
    <t>Диск с шиной  172.50.007сб-3</t>
  </si>
  <si>
    <t>Москва, АО НИИ "Стали"</t>
  </si>
  <si>
    <t>2325187912351422241015207/4113к/429/2.3134 от 25.09.2023</t>
  </si>
  <si>
    <t>Комплекс средств снижения заметности ИМЖВ.169.500.000, чехлы, экраны 188М</t>
  </si>
  <si>
    <t>Сатка, ООО НПО "Зюраткуль"</t>
  </si>
  <si>
    <t>Комплект экранов 188М.</t>
  </si>
  <si>
    <t>Москва, ООО НПП  "ЭПОТОС"</t>
  </si>
  <si>
    <t>Генератор огнетушащего аэрозоля 
ГОА-19</t>
  </si>
  <si>
    <t>Омск, АО "Омсктрансмаш"</t>
  </si>
  <si>
    <t>№2325187912351422241015207/3976к/429/15610/336/23 от 18.09.2023</t>
  </si>
  <si>
    <t>Гусеница 188М.55.002сб
с ЗИП
Трак 148.55.027
Гребень 172.55
Башмак 148.55
Шайба 148.55
Болт 219-35-58
Скоба 148.55
Болт 148.55
Фильтр 219-09</t>
  </si>
  <si>
    <t>аванс 40% оплачен 32 281 862,62), остаток 10%</t>
  </si>
  <si>
    <t>Челябинск, ЗАО НПК "ТЕКО"</t>
  </si>
  <si>
    <t>2325187912351422241015207/621Т/23/ВП/4354к/429 от 15.08.2023г.</t>
  </si>
  <si>
    <t>Датчик уровня охлаждающей жидкости ВТИЮ.7058.1,   ВТИЮ.7058.000</t>
  </si>
  <si>
    <t>Челябинск, ООО "ЧТЗ-Уралтрак"</t>
  </si>
  <si>
    <t>№2325187912351422241015207/123/23-346Д/3944к/429 от 18.07.2023</t>
  </si>
  <si>
    <t>Двигатель В-92С2Ф с ЗИП
Клапан Сб.3327-08-1А</t>
  </si>
  <si>
    <t>Шадринск, АО "ШААЗ"</t>
  </si>
  <si>
    <t>2325187912351422241015207/СБ747/3ВП-2024/3736к/429 от 21.07.2023</t>
  </si>
  <si>
    <t>Шприц смазочный заправочный
Ш2-3911010-10
15 шт.-2024
15 шт. -2025г.</t>
  </si>
  <si>
    <t>13.09.2024 г.</t>
  </si>
  <si>
    <t>заключен - 14.08.2024 г.
ждем счет на предоплату</t>
  </si>
  <si>
    <t>оплачено - 07.03.2024 г.</t>
  </si>
  <si>
    <t>ав 40% за 20 шт оплачен 26.07.24  Необходимо доавансирование до 65%</t>
  </si>
  <si>
    <t>Оплачен 50%
Необходимо доавансирование до 80%</t>
  </si>
  <si>
    <t>Необходима доплата до 50% 42 864 706,73 руб.</t>
  </si>
  <si>
    <t>Комплект стабилизатора ,КМЧ 2Э42-2 МКРН.305651.216,Комплект стабилизатора,К-т монтажных частей КМЧ,Датчик крена и тангажа,</t>
  </si>
  <si>
    <t>аванс (50%) на сумму  2 100 111,12 оплачен 14.05.2024
аванс 15% до 65% на сумму 630 033,34 оплачен 16.08.2024</t>
  </si>
  <si>
    <t>аванс 50% на сумму 5 221 956,00 руб.оплачен 26.04.2024
аванс 15% до 65% на сумму 1 556 586,80 руб. оплачен 05.08.2024</t>
  </si>
  <si>
    <t xml:space="preserve">аванс 50% на сумму 8 950 736,90 оплачен 23.04.2024
аванс 15% до 65% на сумму 2 685 221,07 в оформлении с 30.08.2024
срок сдачи 03.09.2024 </t>
  </si>
  <si>
    <t>авнас 50%на сумму 5 221 956,00 руб оплачен 
аванс 15% до 65% на сумму1 556 586,80 оплачен 05.08.2024</t>
  </si>
  <si>
    <t>2325187912341422241000262/2610сб/386к/429 от 13.10.2023 спецификация 2</t>
  </si>
  <si>
    <t>2325187912341422241000262/3113сб/309к/429 от 29.11.2023 спецификация 2</t>
  </si>
  <si>
    <t>Поставка стартер-генераторов СГ-18</t>
  </si>
  <si>
    <t>2325187912341422241000262/203/11-37-23/5451к/429 от 13.11.2023 спецификуация 2</t>
  </si>
  <si>
    <t xml:space="preserve">80% оплачено </t>
  </si>
  <si>
    <t>КДЗ, КССЗ</t>
  </si>
  <si>
    <t>2325187912341422241000262/2297к/429/2.3457.400 от 16.08.2024</t>
  </si>
  <si>
    <t>Экраны</t>
  </si>
  <si>
    <t>ЗНП оформлена</t>
  </si>
  <si>
    <t>оплачено - 09.01.2024 г.</t>
  </si>
  <si>
    <t>Аванс 40% оплачен 30.07.2024г.</t>
  </si>
  <si>
    <t>оплачено - 01.08.2024 г.</t>
  </si>
  <si>
    <t>Оплачено 80%</t>
  </si>
  <si>
    <t>оплачено 65%</t>
  </si>
  <si>
    <t>Договор будет заключен до 31.10.2024</t>
  </si>
  <si>
    <t>Аванс 60% оплачен 19.04.2024г.</t>
  </si>
  <si>
    <t>ав. 50% за 20 шт.оплачен 16.05.24, необходимо доавансирование до 65%</t>
  </si>
  <si>
    <t>оплачено - 04.04.2024 г.</t>
  </si>
  <si>
    <t>Заявка №429-88/1116 от 12.08.2024г.</t>
  </si>
  <si>
    <t>направлены запросы</t>
  </si>
  <si>
    <t>Заключение договора в I кв. 2025г</t>
  </si>
  <si>
    <t xml:space="preserve">Заключение договора в I кв. 2025г, авансирование котракта 2025г. </t>
  </si>
  <si>
    <t xml:space="preserve">поставка смеси резиновой </t>
  </si>
  <si>
    <t>4 кв.</t>
  </si>
  <si>
    <t>Договор будет заключен в 4 кв.</t>
  </si>
  <si>
    <t xml:space="preserve">Заключение договора в IVкв. 2024г, авансирование котракта 2024г. </t>
  </si>
  <si>
    <t>заключение договора в 1 кв 2025</t>
  </si>
  <si>
    <t>2225187325911422241000261/2844к/426 от 30.07.2024 набивка для подушек от 24.06.2024</t>
  </si>
  <si>
    <t>оплачено 15.08.24</t>
  </si>
  <si>
    <t>заявка на утверждении в АСФЗД</t>
  </si>
  <si>
    <t>договор будет заключаться в 4 кв.2024</t>
  </si>
  <si>
    <t>договор будет заключаться в 1 кв.2025</t>
  </si>
  <si>
    <t>Направлен запрос  в адрес Поставщика</t>
  </si>
  <si>
    <t>4 кв</t>
  </si>
  <si>
    <t>ЗнП оплачена 27.08.2024</t>
  </si>
  <si>
    <t>Договор заключен. ЗнП сдана.</t>
  </si>
  <si>
    <t>оплачено - 25.03.2024</t>
  </si>
  <si>
    <t>Аванс 40% или 111138,72 руб. за 2025г. оплачен</t>
  </si>
  <si>
    <t xml:space="preserve">аванс 40% оплачен </t>
  </si>
  <si>
    <t>аванс 40% оплачен 22.08.24</t>
  </si>
  <si>
    <t>Аванс до 50% оплата до конца февраля 2025г</t>
  </si>
  <si>
    <t>Исх.№5А-6-07428/24 от 19.08.24г. к дог. На согласовании в АСЭД 
(настаиваем по условиям оплаты)</t>
  </si>
  <si>
    <t>Договор на согласовании у служб Общества. Предварительный срок согласования - 13.09.2024</t>
  </si>
  <si>
    <t>Заявка направлена. Ожидается договор до 13.09.2024</t>
  </si>
  <si>
    <t>4 кварт.2024</t>
  </si>
  <si>
    <t>Договор заключен 100% оплачен - 10.06.2024</t>
  </si>
  <si>
    <t>Пакет на ТЗП с 26.08.2024г.</t>
  </si>
  <si>
    <t>ЭК-48</t>
  </si>
  <si>
    <t>28.08.2024г. Поставщик прислал ПУР без подписи ВП (тк он подписывает только оригиналы), не согласны с усл опл, 9 отд.</t>
  </si>
  <si>
    <t xml:space="preserve">Договор не представлен.  Повторная заявка № 429-207/2619 отправлена 22.08.2024г. </t>
  </si>
  <si>
    <t>2426187915321412241236382/2868к/429/0492-СБ/2024 от 17.06.2024</t>
  </si>
  <si>
    <t>С 29.08.2024г. Договор на согласовании в АСЭДе</t>
  </si>
  <si>
    <t>Договор на согласовании у Поставщика, нет цены на 2025 год.
Договор ожидается до 20.09.2024</t>
  </si>
  <si>
    <t xml:space="preserve">Протокол разногласий у Поставщика с 31.07.2024г. (замечания упр.16 по пунктпм Постановления Правительства и по условиям оплаты) </t>
  </si>
  <si>
    <t>направлена заявка ждем договор</t>
  </si>
  <si>
    <t>Договор на подписании у Поставщика с протоколом разногласием по Инструкции               П-7, неустойка 5%
Предварительный срок согласования - 27.09.2024</t>
  </si>
  <si>
    <t>сентябрь 202г.</t>
  </si>
  <si>
    <t xml:space="preserve">Протокол разногласий у Поставщика с 06.08.2024г. (замечания упр.16 по пунктпм Постановления Правительства и по условиям оплаты) </t>
  </si>
  <si>
    <t>Договор с ПР на согласовании у Поставщика</t>
  </si>
  <si>
    <t>Договор на согласовании в службах Общества</t>
  </si>
  <si>
    <t>Договор с ПР у Поставщика с 20.08.</t>
  </si>
  <si>
    <t>Ждем договор от Поставщика</t>
  </si>
  <si>
    <t xml:space="preserve">Договор заключен без ИГК. Направлена заявка 429-174/2350 от 27.08.202г. во изменение (31+62), усл опл, цены. Ждем ответ от поставщика по ценам и условиям оплаты и будем делать ДС. </t>
  </si>
  <si>
    <t>ДС к договору у поставщика на согласовании с 01.08.2024. Будет ПР в части цены</t>
  </si>
  <si>
    <t>договор на оформлении 763 565,00 -100%</t>
  </si>
  <si>
    <t xml:space="preserve">с 21.08.2024г. Договор с П.Р. (замеч. 9 отд., 422 реест ТПП, 16упр. неустойки) у Поставщика на согл.     </t>
  </si>
  <si>
    <t>Договор с ПР на согласовании у поставщика с 22.08.2024 в части у/о</t>
  </si>
  <si>
    <t>оплачена 26.06.2024</t>
  </si>
  <si>
    <t>Договор заключен. Срок оформления ЗНП в соотвествии с условиями договора, а именно, по факту поступления денежных средств от гос.заказчика, но не позднее 31.12.2024</t>
  </si>
  <si>
    <t>№2224187315101412241211123/21240087/5175к/424 от 09.10.2023 спецификация №2 от 17.07.2024</t>
  </si>
  <si>
    <t>1123-25-10+20
В АС ФЗД 2024г</t>
  </si>
  <si>
    <t>Продукция поставлен, договор исполнен</t>
  </si>
  <si>
    <t>Срок оформления ЗНП в соотвествии с условиями договора, а именно, по факту поступления денежных средств от гос.заказчика, но не позднее 31.12.2024</t>
  </si>
  <si>
    <t>оплачена 09.08.2024</t>
  </si>
  <si>
    <t>оплачена 19.08.2024</t>
  </si>
  <si>
    <t>оплачен с толерансом</t>
  </si>
  <si>
    <t>оплачена 06.08.2024</t>
  </si>
  <si>
    <t>оплачена 23.08.2024, в АС ФЗД нет</t>
  </si>
  <si>
    <t>АО "Корпорация"Красный Октябрь" г.Волгоград</t>
  </si>
  <si>
    <t>2325187912341422241000262/108/2024/Кко/1926к/424 от 04.04.2024</t>
  </si>
  <si>
    <t>оплачено 20.06.2024</t>
  </si>
  <si>
    <t>оплачена 25.06.2024</t>
  </si>
  <si>
    <t>оплачена 18.07.2024</t>
  </si>
  <si>
    <t>Заявка на 40% на 665 782 985,80   оплачена 19.08.2024</t>
  </si>
  <si>
    <t>Заявка на 40% на 830 354 187,31  оплачена 19.08.2024</t>
  </si>
  <si>
    <t>АО "Челябинский цинковый завод" г.Челябинск</t>
  </si>
  <si>
    <t>ЗАО "Завод припоев" г.Новосибирск</t>
  </si>
  <si>
    <t>Планируемая сумма аванса 40%</t>
  </si>
  <si>
    <t>Продукция поставлена, договор исполнен</t>
  </si>
  <si>
    <t>Олачено 100% и продукция поставленаа 22.08.2024г.</t>
  </si>
  <si>
    <t>Продукция поставленаа
Платить не нужно</t>
  </si>
  <si>
    <t xml:space="preserve">В адрес ПАО  "ММК" направлено ДС об изменении условий договора в части условий оплаты. ПАО "ММК" данные ДС не подписало, аргументирую тем, что несвоевременное, либо не в полном объеме поступление денежных средств по договорам в рамках ГОЗ для ПАО "ММК" не является причиной срыва, либо неисполнения обязательств взятых ПАО "ММК" в рамках исполнения договоров в рамках ГОЗ. Заказ АО НПК "Уралвагонзавод" размещен в производство в полном объеме.Отгрузка происходит  по мере готовности металлопроката. </t>
  </si>
  <si>
    <t>Срок оформления ЗНП в соотвествии с условиями договора, а именно, по факту поступления денежных средств от гос.заказчика, но не позднее 31.12.2024. 
31.12.2024 г.-является ориентировочным.
В случае, если до 31.12.2024 года денежные средства от Гос.заказчика по контракту не поступили, Стороны в течение 5 рабочих дней согласовывают новый срок оплаты, путем подписания ДС к договору (спецификации)</t>
  </si>
  <si>
    <t>Оплачено с толерансом</t>
  </si>
  <si>
    <t>Аванс 40 %, ЗнП на сумму
 1 168 005, 77 руб
оплачена 29.08.2024..ЗнП еще на 40%  в сентябре 2024 года</t>
  </si>
  <si>
    <t>Направлены запросы</t>
  </si>
  <si>
    <t>Итого:</t>
  </si>
  <si>
    <t>ЗнП оплачен 08.08.2024</t>
  </si>
  <si>
    <t>заключение договора в 4 квартале 2024</t>
  </si>
  <si>
    <t>ЗНП оформлена, необходима оплата</t>
  </si>
  <si>
    <t>Договор на 77 изд. на оформлении, ЗнП в срок до 31.10.2024. Ориентировочная сумма 793 100</t>
  </si>
  <si>
    <t>договор оформлен, на подписи у поставщика.</t>
  </si>
  <si>
    <t>заключение договора в 1 квартале 2025</t>
  </si>
  <si>
    <t>клей есть на остатках, заключение договора по мере необходимости.</t>
  </si>
  <si>
    <t>заключение договора в I квартале 2025</t>
  </si>
  <si>
    <t>до 06.09.2024</t>
  </si>
  <si>
    <t>Октябрь 2024</t>
  </si>
  <si>
    <t>до 31.03.2025</t>
  </si>
  <si>
    <t>до 31.10.2024</t>
  </si>
  <si>
    <t>1 кв 2025</t>
  </si>
  <si>
    <t>4 кв 2024</t>
  </si>
  <si>
    <t>поставлено на склад</t>
  </si>
  <si>
    <t>Заключение договора в I кв. 2025г,</t>
  </si>
  <si>
    <t>ТЗП на оформлении, запросы направлены, ответы получены</t>
  </si>
  <si>
    <t>напарвлены запросы</t>
  </si>
  <si>
    <t>Сентябрь 2024</t>
  </si>
  <si>
    <t>до 31.12.2024</t>
  </si>
  <si>
    <t>ЗнП оплачена 07.08.2024</t>
  </si>
  <si>
    <t>запрос направлен поставщику</t>
  </si>
  <si>
    <t>заключается договор по ИГК 9022</t>
  </si>
  <si>
    <t>до 30.09.2024</t>
  </si>
  <si>
    <t xml:space="preserve">Заключение договора в I кв. 2025г, авансирование контракта 2025г. </t>
  </si>
  <si>
    <t>ОАО "Северсталь-Метиз"</t>
  </si>
  <si>
    <t>Договор заключен. Срок оформления ЗНП в соотвествии с условиями договора, а именно, по факту поступления денежных средств от гос.заказчика, но не позднее 31.12.2024. 
31.12.2024 г.-является ориентировочным.
В случае, если до 31.12.2024 года денежные средства от Гос.заказчика по контракту не поступили, Стороны в течение 5 рабочих дней согласовывают новый срок оплаты, путем подписания ДС к договору (спецификации)</t>
  </si>
  <si>
    <t>АО "ПНТЗ"</t>
  </si>
  <si>
    <t>0261/1075 от 15.05.2024</t>
  </si>
  <si>
    <t>ООО "СПАРК"</t>
  </si>
  <si>
    <t>АО "ЧТПЗ"</t>
  </si>
  <si>
    <t>0261/2389к/424 от 16.04.2024</t>
  </si>
  <si>
    <t>ООО "Киберсталь"</t>
  </si>
  <si>
    <t>0261/435/424 от 21.06.2024</t>
  </si>
  <si>
    <t>Предоплата до 80% от суммы спецификации в течение 10 банковских дней с момента получения денежных средств от Государственного заказчика в счет аванса; доплата 20% за каждую партию продукции производится в течение 30 календарных дней, пропорционально суммам, поступившим от Государственного заказчика в счет окончательного рапсчета</t>
  </si>
  <si>
    <t xml:space="preserve">40% в течение 10 банковских дней с момента получения денежных средств от Государственного заказчика, в счет аванса, но в любом случае не позднее 31.12.2024 г.  С влучаее, если до 31.12.2024г денежные средства от Государственного заказчика по контракту не поступили, стороны в течение 5 рабочих дней согласовывают новый срок оплаты, путем подписания ДС к контракту (спецификация). </t>
  </si>
  <si>
    <t>Необходим ок.расчет</t>
  </si>
  <si>
    <t xml:space="preserve">поставка труб из углеродистой стали </t>
  </si>
  <si>
    <t>АО "КЗОЦМ" г. Киров</t>
  </si>
  <si>
    <t>№1. Аванс (100%,25г).</t>
  </si>
  <si>
    <t>/424 от 14.03.2024</t>
  </si>
  <si>
    <t>поставка труб из углеродистой стали и балооны</t>
  </si>
  <si>
    <t>Отдел</t>
  </si>
  <si>
    <t>Необходимый аванс на 2025г. по условиям договора</t>
  </si>
  <si>
    <t>НЕ заключены договора (сумма аванса 40%)</t>
  </si>
  <si>
    <t>ИТОГО:</t>
  </si>
  <si>
    <t>Аванс 40% оплачен 02.09.2024 Необходима доплата до 80%</t>
  </si>
  <si>
    <t>Аванс 40% оплачен 02.09.2024</t>
  </si>
  <si>
    <t xml:space="preserve">Оплачен аванс 40% -02.09.2024 в течение 10 банковских дней с момента получения денежных средств от Государственного заказчика, в счет аванса, но в любом случае не позднее 31.12.2024 г.  В случае, если до 31.12.2024г денежные средства от Государственного заказчика по контракту не поступили, стороны в течение 5 рабочих дней согласовывают новый срок оплаты, путем подписания ДС к контракту (спецификация). </t>
  </si>
  <si>
    <t>Итог 429</t>
  </si>
  <si>
    <t>Аванс 40% в сумме 13 451 198,40  сдан 26.08.2024 оплачен 02.09.2024</t>
  </si>
  <si>
    <t>АО "Электросигнал"</t>
  </si>
  <si>
    <t>Аванс 40% в сумме 1 208 419,68  оплачен 02.09.2024</t>
  </si>
  <si>
    <t>до 20.09.2024</t>
  </si>
  <si>
    <t>АО "Завод Элекон"</t>
  </si>
  <si>
    <t>Аванс 20% в сумме 6 108 765,98 оплачен 
Аванс 20% в сумме 6 108 765,98 оплачен 
Аванс 10% в сумме 3 054 382,99 оплачен</t>
  </si>
  <si>
    <t>ООО "Метизное решения"</t>
  </si>
  <si>
    <t>ЗнП 40% 599 188,8 оплачен 03.09.2024</t>
  </si>
  <si>
    <t>Оплачена 19.08.2024 без АС ФЗД</t>
  </si>
  <si>
    <t xml:space="preserve">Аванс в сумме 1 034 184, 10 оформлен 03.09.2024 </t>
  </si>
  <si>
    <t>Продукция поставлена, договор исполнен. Сумма договора уменьшена с 19 335 561,70 до 17 773 106,04</t>
  </si>
  <si>
    <t>Аванс  40% в сумме 41 184,00 оплачен 
Аванс 10% в сумме 10 296,0 оформлен 03.09.2024</t>
  </si>
  <si>
    <t>1123/3212к/424 от 21.08.2024</t>
  </si>
  <si>
    <t>2225187325911422241000261/ГМ/24/525/3135к/424 от 12.06.2024</t>
  </si>
  <si>
    <t xml:space="preserve">Договор заключен. Условия оплаты по договору: Предоплата 80%, ок. расчет 20% по СЗ № 424-172/2001 от 22.08.2024. В настоящий момент ожидается уведомление от поставщика об открытии ОБС. </t>
  </si>
  <si>
    <t>ждем ОБС от поставщика</t>
  </si>
  <si>
    <t>0261/3206 от 21.08.2024</t>
  </si>
  <si>
    <t>0261/ 1550/424 от 16.08.24</t>
  </si>
  <si>
    <t>поставка трубы</t>
  </si>
  <si>
    <t xml:space="preserve">Договор заключен на условиях 100% предоплаты. Продукция оплачена не в полном объеме (40%). Заключается ДС на изменение условий оплаты. </t>
  </si>
  <si>
    <t xml:space="preserve">Оплачено 40% </t>
  </si>
  <si>
    <t>оплачен полностью, труба поступила</t>
  </si>
  <si>
    <t>2226187415091412241009022/ГМ/24-526/3134к/424 от 12.06.2024</t>
  </si>
  <si>
    <t>9022/424/34 от 21.08.2024</t>
  </si>
  <si>
    <t>Направлены запросы. Ответ не получен.</t>
  </si>
  <si>
    <t>Направлены запросы. Ответ не получен</t>
  </si>
  <si>
    <t xml:space="preserve">Поставка проволоки </t>
  </si>
  <si>
    <t>Поставка проволоки нержавеющей</t>
  </si>
  <si>
    <t>40% аванс оплачено 03.09.24</t>
  </si>
  <si>
    <t>Оплачено 40 %, неообходимо доавансирование до 80%</t>
  </si>
  <si>
    <t>2224187315101412241211123/352/СП/11-24/4371к/429 от 12.10.2023 (доп.согл. №3)</t>
  </si>
  <si>
    <t>Доп согл №3 заключено 04.09.24г. Счет на предоплату за 2025г. не получен.</t>
  </si>
  <si>
    <t xml:space="preserve"> 04.09.24 - ПСР напрвлен поставщику с договрным письмом (разног. по 59 отд.)</t>
  </si>
  <si>
    <t>договор заключен. Счет получен 02.09.2024г. Ждем ув об откр</t>
  </si>
  <si>
    <t>АО "ЛЗОС"</t>
  </si>
  <si>
    <t>АО "Лаборатория ППШ"</t>
  </si>
  <si>
    <t>Аванс 40%  в сумме 405 456 000,0 оплачен 04.09.2024</t>
  </si>
  <si>
    <t>Аванс 40% оплачен</t>
  </si>
  <si>
    <t>оплачено 60%. Платежку на 20% (1 375 004,00) вернул 18 отд.</t>
  </si>
  <si>
    <t>октябрь 24г</t>
  </si>
  <si>
    <t>ПР к ДС по условиям оплаты на согласовании в АСЭД</t>
  </si>
  <si>
    <t>ДС на изменение ТЗП</t>
  </si>
  <si>
    <t>С 04.09.2024г. На согласовании в АСЭДе ПСР к ПР (не согласны с усл опл, пунктом 59 отд, неустойкой и промышл палатой)</t>
  </si>
  <si>
    <t>2225187325911422241000261/33/37-64/3737-22/4870к/429 (доп согл №4)</t>
  </si>
  <si>
    <t>С 19.08.24 протокол разногласий в редакции УВЗ у Поставщика (разногласия по условиям оплаты + промышленная палата+ неустойка). В адрес Поставщика 04.09.24 направлено ускорительное письмо о согласовании разногласий</t>
  </si>
  <si>
    <t xml:space="preserve">договор заключен. Ждем ДС от поставщика об отдельных реквизитах </t>
  </si>
  <si>
    <t>Договор заключен, ЗНП 100% на согласовании в 18 с 04.09.24</t>
  </si>
  <si>
    <t>АО "Миассэлектроаппарат"</t>
  </si>
  <si>
    <t>АО "НПО Электромашина"</t>
  </si>
  <si>
    <t>АО "Электроавтомат"</t>
  </si>
  <si>
    <t>Аванс 40% в сумме 9 533 376,0 оплачен 04.09.2024</t>
  </si>
  <si>
    <t>АО "Элктросоединитель"</t>
  </si>
  <si>
    <t>ЗАО "Электротяга"</t>
  </si>
  <si>
    <t>Договор с ПР (промыш. пал.,  условия опл., неустойка) у Поставщика с  31.07.24. В адрес Поставщика 04.09.24 направлено ускорительное письмо о согласовании разногласий</t>
  </si>
  <si>
    <t>Аванс 100% в сумме 63 606,72 оплачен 04.09.2024</t>
  </si>
  <si>
    <t>Оплачено 50%
Необходимо доавансирование до 80%</t>
  </si>
  <si>
    <t>Аванс 80% оплачен</t>
  </si>
  <si>
    <t xml:space="preserve">АО "Миассэлектроаппарат" </t>
  </si>
  <si>
    <t>АО "Электросоединитель"</t>
  </si>
  <si>
    <t xml:space="preserve">АО "Электроавтоматика" </t>
  </si>
  <si>
    <t>АО "НИИ"Стали"</t>
  </si>
  <si>
    <t>Аванс 65% в сумме 37 521 588,62 оплачен 04.09.2024</t>
  </si>
  <si>
    <t>АО "НПО" Электромашина"</t>
  </si>
  <si>
    <t>Аванс 40% оплачен 08.08.24г.
Необходимо доавансирование</t>
  </si>
  <si>
    <t>Оплачена платежка на сумму 31 644,00 руб. 03.09.2024</t>
  </si>
  <si>
    <t>Заключен 03.09.24г. Ждем счет на аванс</t>
  </si>
  <si>
    <t>Заявка на аванс на оформл с 04.09</t>
  </si>
  <si>
    <t>Аванс 100% в сумме 18 882,0 оплачен 04.09.2024</t>
  </si>
  <si>
    <t>Оплачено 04.09.2024</t>
  </si>
  <si>
    <t>АО "ММК-Метиз" г.Манитогорск</t>
  </si>
  <si>
    <t>Остаток от плана 2025</t>
  </si>
  <si>
    <t>Остаток от плана 40%</t>
  </si>
  <si>
    <t>2225187325911422241000261/424/27 от 02.05.2024</t>
  </si>
  <si>
    <t>2225187325911422241000261/1229/2882к/424 от 10.06.2024</t>
  </si>
  <si>
    <t>2325187912341422241000262/2425к/424 от 21.06.2024</t>
  </si>
  <si>
    <t>2226187415091412241009022/257/2024/Кко/3307к/424 от 28.08.2024</t>
  </si>
  <si>
    <t>АО "Корпорация Красный Октябрь"</t>
  </si>
  <si>
    <t>№2224187315101412241211123/258/2024/Кко(Р/255/2024/Кко)/3 от 28.08.2024</t>
  </si>
  <si>
    <t>2225187325911422241000261/256/2024/Кко(Р/255/2024/Кко)/1 от 28.08.2024</t>
  </si>
  <si>
    <t>Оплачено</t>
  </si>
  <si>
    <t>до 30.11.2024</t>
  </si>
  <si>
    <t>ООО "НПЦ Комэлектротех" 17064,00 оплата по счету, письмо на согласовании у директора по экономике и финансам.</t>
  </si>
  <si>
    <t>до 18.10.2024</t>
  </si>
  <si>
    <t>Закл. Договор по ИГК 9022</t>
  </si>
  <si>
    <t>ТЗП на согласовании в отделе 18. Будет выставлен протокол разногласий по условиям оплаты 25г.</t>
  </si>
  <si>
    <t>не будет заключаться</t>
  </si>
  <si>
    <t>ЗнП оплачена 03.09.2024</t>
  </si>
  <si>
    <t>Заявка оформлена 27.08.2024</t>
  </si>
  <si>
    <t>Сдана, в реестре на 04.09.2024</t>
  </si>
  <si>
    <t>запросы на 77 направлены, ЗнП в срок до 31.10.2024. Ориентировочная сумма 5 837 562,5</t>
  </si>
  <si>
    <t>до 31.11.2024</t>
  </si>
  <si>
    <t>30.09.2024</t>
  </si>
  <si>
    <t xml:space="preserve">Заключение договора в I кв. 2025г, авансирование котракта 2025г.  Повторно отправлено письмо  в адрес поставщика о соглоасование авансирования. </t>
  </si>
  <si>
    <t xml:space="preserve">Протокол разноглосий по условиям оплаты  на оформлении в юр.отделе с 06.09.2024 </t>
  </si>
  <si>
    <t>запросы на 77 направлены, ЗнП в срок до 31.10.2024. Ориентировочная сумма 23 433 515,88</t>
  </si>
  <si>
    <t>запросы на 77 направлены, ЗнП в срок до 31.10.2024. Ориентировочная сумма 8 392 946,1</t>
  </si>
  <si>
    <t>октябрь 2024</t>
  </si>
  <si>
    <t>протокол согласования разногласий в АСФЗД с 05.09.2024</t>
  </si>
  <si>
    <t>ЗНП сдана. В реестре на 4.09.</t>
  </si>
  <si>
    <t>В реестре на 29.07.2024</t>
  </si>
  <si>
    <t>ЗНП сдана 26.07.2024, ожидает исполнения</t>
  </si>
  <si>
    <t>ЗНП на утверждении в АСФЗД с 08.08.2024</t>
  </si>
  <si>
    <t>Оплачено 03.09.2024</t>
  </si>
  <si>
    <t>до 27.09.2024</t>
  </si>
  <si>
    <t>Есть остатки, договор будет заключаться в 2025</t>
  </si>
  <si>
    <t>"НИИ Полимеров" АО</t>
  </si>
  <si>
    <t>Поставка герметиков</t>
  </si>
  <si>
    <t>1 квартал 2025</t>
  </si>
  <si>
    <t xml:space="preserve">1 кв. 2025г </t>
  </si>
  <si>
    <t>до31.10.2024</t>
  </si>
  <si>
    <t>23 232 010,62 руб. ТЗП на согласовании в отделе 18. Будет выставлен протокол разногласий по условиям оплаты 25г.</t>
  </si>
  <si>
    <t>до18.10.2024</t>
  </si>
  <si>
    <t xml:space="preserve">сумма указана не верно, максимально заключение договора до 50 т.р в 4 кв. 2024, </t>
  </si>
  <si>
    <t>Не будет закупаться</t>
  </si>
  <si>
    <t>заключаться не будет, обеспечен контрактом 0261</t>
  </si>
  <si>
    <t xml:space="preserve">4 кв.2024г </t>
  </si>
  <si>
    <t xml:space="preserve">На оформление ТЗП 60 отд. </t>
  </si>
  <si>
    <t>Доп соглашение по изменению спецификации на подписи у поставщика, будет оформлено  доавансирование в срок до 20.09.2024</t>
  </si>
  <si>
    <t xml:space="preserve">1 квартал 25г </t>
  </si>
  <si>
    <t>до 30.10.2024</t>
  </si>
  <si>
    <t>договор на подписи у Поставщика с 02.09.2024</t>
  </si>
  <si>
    <t>Заключение договора в I кв. 2025г сумма максимум до 50 т.р.</t>
  </si>
  <si>
    <t xml:space="preserve">договор на оформлении в АСЭДе с 03.09.2024, </t>
  </si>
  <si>
    <t>КЛ в 54</t>
  </si>
  <si>
    <t xml:space="preserve">4 квартал 24г </t>
  </si>
  <si>
    <t xml:space="preserve">на оформление ТЗП в 60 отд. </t>
  </si>
  <si>
    <t>Аванс  40% оплачена 05.09.2024</t>
  </si>
  <si>
    <t>АО "ЧЭАЗ"</t>
  </si>
  <si>
    <t>Аванс  100% оплачен 05.09.2024</t>
  </si>
  <si>
    <t>Аванс 100% оплачен 05.09.2024</t>
  </si>
  <si>
    <t>ПР к ДС № 3 к договору на согласовании в АСЭД с 26.08.2024 (85), будет ПСР в части условий расчетов</t>
  </si>
  <si>
    <t>Доп. соглашение на 6 кмп. в АСЭД с 30.08.2024  (Будет заключено)</t>
  </si>
  <si>
    <t>ДС на согласовании у Поставщика, все существенные условия договора урегулированы на ВКС</t>
  </si>
  <si>
    <t>Договор на согласовании в АСЭД с 03.09.2024</t>
  </si>
  <si>
    <t>Дополнительное соглашение на изм. тзп. Срок заключения до 13.09.2024г. Срок сдачи платежного поручения до 16.09.2024г.</t>
  </si>
  <si>
    <t>Договор заключен. Заявка на оплату в 18 отд. с 05.09.2024 (с замечаниями: необходимо письмо о принятии обс)</t>
  </si>
  <si>
    <t>Договор заключен. Проавансирован 25.06.2024г.</t>
  </si>
  <si>
    <t>ОАО "ЗИД"</t>
  </si>
  <si>
    <t>Аванс 40% за 153 изд на сумму - 127 823 842,41 оплачена 05.09.2024. Необходимо доавансирование до 80%.</t>
  </si>
  <si>
    <t>АО "Лепсе"</t>
  </si>
  <si>
    <t>Аванс 50%  оплачен 05.09.2024</t>
  </si>
  <si>
    <t>ЗНП сдана 25.07.24 на сумму 530 197,01руб.оплачено 03.09.24</t>
  </si>
  <si>
    <t>Оплачено 60% (55 изд.)</t>
  </si>
  <si>
    <t>оплата 40% 05.08.24</t>
  </si>
  <si>
    <t>Аванс 50% оплачен за 55 изд.</t>
  </si>
  <si>
    <t>Проавансирован за три года (2023,2024,2025) 29.11.2022г. 80%</t>
  </si>
  <si>
    <t>Аванс оплачен 40% 27.07.2024г.</t>
  </si>
  <si>
    <t xml:space="preserve">Аванс оплачен 40% 29.07.2024г. </t>
  </si>
  <si>
    <t>из наличия</t>
  </si>
  <si>
    <t>Договор с протоколом разногласий на оформлении у Поставщика с 28.08.2024</t>
  </si>
  <si>
    <t>ДС к договору на согласовании в АСЭД с 06.09.2024</t>
  </si>
  <si>
    <t>Аванс 40% за 55 изд. Оплачен 30.07.24г. Необходимо доавансировать до 80%. 
Аванс 40 в сумме 127 823 842,41 оплачен 05.09.2024</t>
  </si>
  <si>
    <t>Дополнительное соглашение с протоколом разногласий (по разбивке 44 и 153 изд.) на стороне АО "ЗОМЗ" с 04.09.2024г.</t>
  </si>
  <si>
    <t>ДС № 1 к договору заключен 06.09.2024, ждем счет на оплату</t>
  </si>
  <si>
    <t>ПУР к ПР к ДС № 3 в АСЭД на согласовании с 16.08.2024 (ТЗП 422)</t>
  </si>
  <si>
    <t>Заключается договор №2492, ТЗП подписана, Формируется запрос на проведение закупки, не урегулированы разногласия в части условий оплаты, договор будет подписываться с протоколом разногласий</t>
  </si>
  <si>
    <t>Часть номенклатуры ЗПП будет поставляться ТД ЕПК. В связи с этим, подготавливается заявка в адрес контрагента на оствшуюся номенклатуру, по которой ЗПП является единственным изготовителем. Заявка будет направлена в срок не позднее 13.09.2024г.</t>
  </si>
  <si>
    <t>Направлена заявка на выставление спецификации к заключенному ранее договору, на согласовании у поставщика</t>
  </si>
  <si>
    <t>Получен договор 040, формирование НМЦ. Подготавливается запрос о согласовании условий оплаты исполнительным директором.</t>
  </si>
  <si>
    <t>АО "Обнинскоргсинтез"</t>
  </si>
  <si>
    <t>Поставщик не принимает условия окончательного расчета. Договор будет заключен после согласования условий оплаты.Поставщик включен в список проблемных (направлена СЗ в 16 упр.). Договор будет заключен после согласования условий оплаты.</t>
  </si>
  <si>
    <t>ООО "ООС"</t>
  </si>
  <si>
    <t>Формируется закупочная документация для проведения ТЗП по п.6.6.2 (55). Отрабатывается вопрос о принятии Поставщиком условий оплаты зеркально ГОЗ. Включен в список проблемных поставщиков (направлена СЗ в 16 упр)  Договор будет заключен после принятия решения по условиям оплаты.</t>
  </si>
  <si>
    <t>Так как продукция является биржевым товаром, Поставщики  предоставят ценовые предложения в ноябре 2024 г. Договор будет заключен до 31.12.2024</t>
  </si>
  <si>
    <t>ООО "Уральский Дом"</t>
  </si>
  <si>
    <t>ООО "Квалитет-Авиа"</t>
  </si>
  <si>
    <t>направлены запросы в адрес потенциальных поставщиков для самостоятельного проведения закупки ( не через АО УБТ-УВЗ). По состоянию на 06.09.2024г ответов нет.</t>
  </si>
  <si>
    <t>ПодшипникbОАО "ШЗПИ" 30м. от 08.07.2024</t>
  </si>
  <si>
    <t>Направлена заявка, договор на согласовании у поставщика, ориентировочный срок выставления договора - до 20.09. Срок подписания договора - до 21.10.2024г.</t>
  </si>
  <si>
    <t>Подготавливается заявка в адрес контрагента, ориентировочный срок направления завяки - до 13.09.2024. Ориентировочная дата выставления договора - до 27.09., дата заключения договора - до 28.10.</t>
  </si>
  <si>
    <t>фанера</t>
  </si>
  <si>
    <t>Поставка фанеры</t>
  </si>
  <si>
    <t>Договор заключен. Согласно полученной информации от контрагента, счет на оплату будет выставлен в 2025г.</t>
  </si>
  <si>
    <t>ЗНП оформлена и сдана в ФО</t>
  </si>
  <si>
    <t>Договор 2478. Не урегулированы разногласия в части оплаты. В 16 с 04.09.2024г., необходимо договорное письмо, где наше Общество настаивает на условиях оплаты зеркально ГОЗ</t>
  </si>
  <si>
    <t>Подготавливается письмо по проработке вопроса о заключении договора на номенклатуру ОАО "ОК-Лоза" с ООО "ТД ЕПК". Будет направлено до 13.09.2024</t>
  </si>
  <si>
    <t>В адрес контрагента направлена заявка, Договор на согласовании у поставщика. Срок выставления договора до 30.09.2024</t>
  </si>
  <si>
    <t>Мсало И-12а является биржевым продуктом,  закупка будет производиться в ноябре - декабре 2024 года</t>
  </si>
  <si>
    <t>40% аванса оплачено, необходимо доавансирование до 80%, платежка будет сдана после поступления д/с от Мо РФ</t>
  </si>
  <si>
    <t>Аванс оплачен 04.09.2024</t>
  </si>
  <si>
    <t>Поставщиком выставлена спецификация №7 к договору 2900. Расчёт НМЦ в 59 с 05.09.2024. Не угрегулирован вопрос в части условий оплаты (100% предоплата)</t>
  </si>
  <si>
    <t xml:space="preserve">Заявка направлена, Спецификация на оформлении у поставщика, срок направления до 30.09.24 г. </t>
  </si>
  <si>
    <t>Часть номенклатуры ЗПП будет поставляться ТД ЕПК. В связи с этим, подготавливается заявка в адрес контрагента на оствшуюся номенклатуру, по которой ЗПП является единственным изготовителем. Заявка будет направлена в срок не позднее 13.09.2024г. (при согласовании договора будут разногласия в части условий оплаты)</t>
  </si>
  <si>
    <t xml:space="preserve">Спецификация на оформлении у поставщика, срок направления до 30.09.24 г. </t>
  </si>
  <si>
    <t>Договор заключаться не будет, обеспечено остатками.</t>
  </si>
  <si>
    <t>Изделия из древесины</t>
  </si>
  <si>
    <t>9022-25-180</t>
  </si>
  <si>
    <t>оплачено 20%</t>
  </si>
  <si>
    <t>АО "ОКБ"Кристалл"</t>
  </si>
  <si>
    <t>Аванс 40% до 80% в  сумме 830 562,24 сдана 05.09.2024</t>
  </si>
  <si>
    <t xml:space="preserve">Аванс 40% в сумме 788 611,59 сдана 05.09.2024 </t>
  </si>
  <si>
    <t>аванс 40% оплачен за 180м.</t>
  </si>
  <si>
    <t>40% оплачено 28.08.24 неообходимо до авансирования до 80%</t>
  </si>
  <si>
    <t>АО "СОАТЭ"</t>
  </si>
  <si>
    <t>40% оплачен - 05.08.2024 
Аванс 60% в сумме 21 085,92 оформлен 06.09.2024 и передан в 18 отд</t>
  </si>
  <si>
    <t>Оплачено 100% 894 324,00</t>
  </si>
  <si>
    <t>40 % сентябрь 2024г.</t>
  </si>
  <si>
    <t>Ноябрь 2024</t>
  </si>
  <si>
    <t>сольвент нефтяной</t>
  </si>
  <si>
    <t>Топливо ТС-1</t>
  </si>
  <si>
    <t>Нефрасы</t>
  </si>
  <si>
    <t xml:space="preserve">Диз топливо ЕВРО кл 4 с ВП МО РФ </t>
  </si>
  <si>
    <t>Подготавливается заявка в адрес контрагента, ориентировочный срок направления завяки - до 13.09.2024</t>
  </si>
  <si>
    <t>Обеспечено остатками по январь 2025г.Запрос будет направлен в октябре 24г, рамочный договор будет заключен в декабре 2024г.</t>
  </si>
  <si>
    <t>Подготавливается заявка в адрес контрагента, ориентировочный срок направления завяки - до 13.09.2024. (Будут разногласия в части условий оплаты)</t>
  </si>
  <si>
    <t>Оплата 90% от общей суммы договора 12.09.2023г.</t>
  </si>
  <si>
    <t>ав.40% оплачен 09.08.24</t>
  </si>
  <si>
    <t>ав.40% оплачен 05.08.24</t>
  </si>
  <si>
    <t>ав.40% оплачен 30.07.24</t>
  </si>
  <si>
    <t>оплата 40% от 05.08.24 необходимо доавансирование до 80%</t>
  </si>
  <si>
    <t>Договор заключен. 40% аванс оплачен 03.09.2024г.</t>
  </si>
  <si>
    <t>На оформлении с ПР с 28.08.2024</t>
  </si>
  <si>
    <t>На изменении ТЗП с 05.09.2024</t>
  </si>
  <si>
    <t>Обеспечено остатками по январь 2025г.Запрос будет направлен в октябре 24г, рамочный договор договор будет заключен в декабре 2024г.</t>
  </si>
  <si>
    <t>Подготавливается заявка в адрес контрагента, ориентировочный срок направления завяки - до 13.09.2024 (Будут разногласия в части условий оплаты)</t>
  </si>
  <si>
    <t>Запрос будет направлен в октябре 24г, договор будет заключен в декабре 2024г.</t>
  </si>
  <si>
    <t>Получен договор 784. Формирование НМЦ и пакета торгово-закупочнйо процедуры. Ориентировочная дата подписания договора - 09.10.2024г.</t>
  </si>
  <si>
    <t>ОБНИНСКОРГСИНТЕЗ ООО</t>
  </si>
  <si>
    <t>Поставщик не принимает условия окончательного расчета. Договор будет заключен после согласования условий оплаты.Поставщик включен в список проблемных (направлена СЗ в 16 упр.). Договор будет заключен после согласования условий оплаты. Ориентировочная сумма договора 1 130 307,12 рублей</t>
  </si>
  <si>
    <t xml:space="preserve">Напрвлены запросы в адрес организаций включенных в МОП. Получен 1 ответ из 5. Договор будет заключен до 30.11.2024 года. </t>
  </si>
  <si>
    <t>В адрес единственного поставщика направлен запрос, ожидается ответ. Договор будет заключен до 30.11.2024 года</t>
  </si>
  <si>
    <t xml:space="preserve">Напрвлены запросы в адрес организаций включенных в МОП. Частично получены ответы. ООО "Производство завод имени Шаумяна" не принимает условия окончательного расчета. Договор будет заключен после согласования условий оплаты.Поставщик включен в список проблемных (направлена СЗ в 16 упр.). Договор будет заключен после согласования условий оплаты. </t>
  </si>
  <si>
    <t>АО "ППШ"Лаборатория"</t>
  </si>
  <si>
    <t>Аванс 40% оплачен 05.09.2024</t>
  </si>
  <si>
    <t>АО "ПАЗ"</t>
  </si>
  <si>
    <t>АО "НПК КБМ"</t>
  </si>
  <si>
    <t>Оплачено 40% - 05.09.2024</t>
  </si>
  <si>
    <t>Договор на согласовании в АСЭД с 06.09.2024</t>
  </si>
  <si>
    <t>ЗАКЛЮЧЕН</t>
  </si>
  <si>
    <t>Договор с ПР на ТЗП после пролонгации в 16 (оформляется строка ТЗП) с 07.09.2024</t>
  </si>
  <si>
    <t>(№ п/п 158,159,160) Договор на согласовании в АСЭД с 04.09.2024</t>
  </si>
  <si>
    <t>ПР к договору в АСЭД с 02.09.24</t>
  </si>
  <si>
    <t>Договор с ПР в части условий оплаты в управлении у Поставщика с 04.09.24</t>
  </si>
  <si>
    <t>договор заключен 30.08.2024, ждем открытия ОБС, счет на оплату</t>
  </si>
  <si>
    <t>Договор с протоколом разногласий в части  условий оплаты на согласовании у Поставщика с 30.08.2024</t>
  </si>
  <si>
    <t>ПСР к ПР к договору на согласовании в АСЭД с 04.09.2024</t>
  </si>
  <si>
    <t>Конкурентный лист на согласовании в 54 отд. С 06.09.2024 года. Ориентировочный срок заключения договора - сентябрь 2024 года</t>
  </si>
  <si>
    <t xml:space="preserve">В адрес поставщиков направлен запросы, ценовые преложения не предоставлены, в связи с невозможностью в настоящее время  фиксирования цены на 2025 год. Цены будут направлены в ноябре - декабре2024 года.  </t>
  </si>
  <si>
    <t>Проведена ТЗП, получен протокол. Договор направлен поставщику для внесения реквизитов ОБС.</t>
  </si>
  <si>
    <t>Получены ценовые предложения, КЛ на согласовании в 54 отделе. Договор будет заключен до 17.09.2024 г., ЗНП будет оформлена до 31.09.2024 г.</t>
  </si>
  <si>
    <t>Сформирована ТЗД. На согласовании службами Общества в АСФЗД,</t>
  </si>
  <si>
    <t>Отделом 54 согласовано ценовое предложение. Формируется договор для согласования в АСЭД.</t>
  </si>
  <si>
    <t>Договор на согласовании службами Общества в АСЭД. Ориентировочный срок заключения - 20.09.2024 года</t>
  </si>
  <si>
    <t>Направлены запросы, ожидаются ответы.Договор будет заключен до 31.10.2024</t>
  </si>
  <si>
    <t>Напрвлены запросы в адрес организаций включенных в МОП. Частично получены ответы. ООО "Производство завод имени Шаумяна" не принимает условия окончательного расчета. Договор будет заключен после согласования условий оплаты.Поставщик включен в список проблемных (направлена СЗ в 16 упр.). Договор будет заключен после согласования условий оплаты.</t>
  </si>
  <si>
    <t>Получен договор 738. Формирование НМЦ и пакета торгово-закупочной процедуры. Ориентировочный срок оформления договора - до 16.09.2024г</t>
  </si>
  <si>
    <t>оплачено 50% за 2024г.</t>
  </si>
  <si>
    <t>оплачено 02.08.24 за 2024</t>
  </si>
  <si>
    <t>Договор заключен. Счет на оплату будет выставлен до 16.09.2024</t>
  </si>
  <si>
    <t>Закючен</t>
  </si>
  <si>
    <t>ЗнП аванс 40% (153 изд.) на сумму 5 670 641,20 руб. в оформлении с 26.08.2024
 оплачен 03.09.2024</t>
  </si>
  <si>
    <t>Подготавливается заявка в адрес контрагента, ориентировочный срок направления завяки - до 13.09.2024. Ориентировочная дата подписания договора -16.09.2024г.</t>
  </si>
  <si>
    <t>Оплачено 100%</t>
  </si>
  <si>
    <t>Договор заключен. 
На заключении в отделе 85 с 06.09.2024г.
Срок сдачи платежного поручения до 13.09.2024г.</t>
  </si>
  <si>
    <t>Аванс  100% оплачен 06.09.2024</t>
  </si>
  <si>
    <t>АО "Завод Фиолент"</t>
  </si>
  <si>
    <t>Аванс  20% в сумме 3 303 936,0 оплачен  20.08.2024
Аванс 20% в сумме 3 303 936,0 оплачен 06.09.2024</t>
  </si>
  <si>
    <t>2325187912341422241000262/04945-34/2023/1950к/429 от 12.12.2023</t>
  </si>
  <si>
    <t>Договор заключен.  
Аванс 40% в сумме 9 226 089,60 оплачен 06.09.2024</t>
  </si>
  <si>
    <t>АО "ЗОМЗ"</t>
  </si>
  <si>
    <t>Аванс 100% в сумме 530 400,0 оплачен 06.09.2024</t>
  </si>
  <si>
    <t>Аванс оплачен в размере 40%
Аванс 40 до 80% на сумму 54 912,00 оплачен 06.09.2024</t>
  </si>
  <si>
    <t>ООО "Ураспецсталь"</t>
  </si>
  <si>
    <t>АО "КЗЭ"</t>
  </si>
  <si>
    <t>сдана 09.09.2024</t>
  </si>
  <si>
    <t>Договор заключен
Аванс 100% оформлен 09.09.2024</t>
  </si>
  <si>
    <t>2225187325911422241000261/2824/2687к/429 от 03.06.2024</t>
  </si>
  <si>
    <t>ООО "Мосавтостекло"</t>
  </si>
  <si>
    <t>Аванс 40% в сумме 1 376 376,19 оформлена 09.09.2024</t>
  </si>
  <si>
    <t>Аванс 100%  в сумме 11 412,0 оформлен 09.09.2024</t>
  </si>
  <si>
    <t>АО "Завод Крпирр"</t>
  </si>
  <si>
    <t>Аванс 100% оформлен 09.09.2024</t>
  </si>
  <si>
    <t>АО "ТЭТЗ"</t>
  </si>
  <si>
    <t>Аванс 40% оформлен 10.09.2024 и передан в 18 отд</t>
  </si>
  <si>
    <t>Необходимо внести правки по сумме авансирования
ЗНП оформлена и сдана в ФО
Аванс 100 %</t>
  </si>
  <si>
    <t>КЛ в 54, ГАСТ- 46190,10 оплата по счету</t>
  </si>
  <si>
    <t>запрос цен на подписи с 10.09.2024</t>
  </si>
  <si>
    <t>21 348.00 оплату по счету, письмо на согласовании у директора по экономике и финансам. Гаст</t>
  </si>
  <si>
    <t>Согласование в 85 отделе с 10.09.2024</t>
  </si>
  <si>
    <t>Согласование в 85 отделе с 10.09.2024 ООО "ТД Энергосервис"</t>
  </si>
  <si>
    <t>Необходимо внести правки по сумме аванса и сумме договора
Договор подписан со стороны контрагента.
Договор прошел согласование в АСЭД.
На оформлении в управлении 16 с 10.09.2024
134 520,00 руб.
Аванс 100 %</t>
  </si>
  <si>
    <t xml:space="preserve">КЛ в 54, Комэлектротех - 29505,06 оплата по счету, </t>
  </si>
  <si>
    <t xml:space="preserve">6 192 Комэлектротех оплату по счету, письмо на согласовании у директора по экономике и финансам. </t>
  </si>
  <si>
    <t>Запрос КП (на подписи с 10.09.2024)</t>
  </si>
  <si>
    <t>Необходимо внести правки по сумме аванса и сумме договора
Получено КП от поставвщика. Сумма 593628,00 руб. с НДС
Заключение договора до 30.09.2024</t>
  </si>
  <si>
    <t>ТЗП на согласовании 
Контрагент настаивает на 100 % предоплате
Необходимо соглсование отличительных условий оплаты</t>
  </si>
  <si>
    <t>Необходимо внести правки по сумме аванса и сумме договора и наименованию контрагента
Договор подписан со стороны контрагента.
Договор прошел согласование в АСЭД.
На оформлении в управлении 16 с 10.09.2024
212 587,28 руб.
Аванс 80 %</t>
  </si>
  <si>
    <t>Согласование цены</t>
  </si>
  <si>
    <t>42 900,00 ЗНП оформлена.
Необходимо корректировка суммы по справке.
100 % предоплата</t>
  </si>
  <si>
    <t xml:space="preserve">Договор заключен, платежк сдан 03.09.24г отд. 421 ГОЗ </t>
  </si>
  <si>
    <t>09.09.2024</t>
  </si>
  <si>
    <t>запрос цен на подписи с 10.09.24</t>
  </si>
  <si>
    <t>КЛ в 54 с 10.09</t>
  </si>
  <si>
    <t>заключение договора в 1 кв 2025, срок хранения 3 мес.</t>
  </si>
  <si>
    <t>Изменить сумму на 1 386 000,00 руб. 
Изготовитель НЦБК Новая Ляля на плановом ремонте и модернизации, запуск производства бумаги планируется ориентировочно в середине сентября</t>
  </si>
  <si>
    <t>сумму изменить на 7 млн. руб.</t>
  </si>
  <si>
    <t>сумму изменить на 530 тыс руб.</t>
  </si>
  <si>
    <t>подготовка запроса, запрошена потребность в плановом 421</t>
  </si>
  <si>
    <t>изменить сумму на 2 700 000,00 руб
заключение договора в 2025 году, возможно будет замена на другую технологию. ООО "Маркит" работает только на условиях 100% предоплаты, т.к. металл производства США</t>
  </si>
  <si>
    <t>испрвить сумму на 52 млн, в предмете изменить "Поставка эмали ХВ-518, грунта ФЛ-03К, сиккатива". Запрос направлен 21.08.2024, повторный запрос направлен 06.09.2024 г.</t>
  </si>
  <si>
    <t>Необходимо внести правки по сумме аванса и сумме договора и наименованию контрагента
Договор подписан со стороны контрагента.
Договор прошел согласование в АСЭД.
На оформлении в управлении 16 с 10.09.2024
688 676,16 руб.
Аванс 80 %</t>
  </si>
  <si>
    <t>изменить сумму на 15 млн., подготовка запроса</t>
  </si>
  <si>
    <t>ТК НИТЕКС ООО</t>
  </si>
  <si>
    <t>2225187325911422241000261/3430к/426 от 17.06.2024</t>
  </si>
  <si>
    <t>№1. Аванс (до базовой даты).(100%,25г,197м)</t>
  </si>
  <si>
    <t>Поставка сети маскировочной</t>
  </si>
  <si>
    <t>до 18.09.2024</t>
  </si>
  <si>
    <t>Добавить в справку.
Договор заключен. ЗНП на оформлении с 10.09.2024</t>
  </si>
  <si>
    <t>оплачено 09/09/2024, в изготовлении</t>
  </si>
  <si>
    <t>Строка РПЗ на согласовании</t>
  </si>
  <si>
    <t>изменить сумму на 9 млн, акциз устанавливает государство, цена на спирт устанавливается в январе</t>
  </si>
  <si>
    <t>До 10.10.2024</t>
  </si>
  <si>
    <t>ТЗП на оформлении с 10.10.2024
КП получены
согласование НМЦ с 10.09.2024
сумма 1 731 336,50 руб. с НДС</t>
  </si>
  <si>
    <t>В АСЭД согласование договора на закупку</t>
  </si>
  <si>
    <t>Необходимо внести правки по сумме договора и размеру авансирования.
Заключен договор 2226187415091412241009022/61/07-ОСТ/3368к/426 от 17.06.2024 на сумму 140 800,00 руб. 70 % предоплата.
07.09.2024 запрошен счет на оплату. Счет на оплату будет выставлен контрагентом после открытия уполномоченным банком ОБС</t>
  </si>
  <si>
    <t>В 85 отделе с 10.09.2024</t>
  </si>
  <si>
    <t>договор будет заключаться в 1 кв.2025, срок хранения 3 мес.</t>
  </si>
  <si>
    <t>2226187415091412241009022/3427к/426 от 03.04.2024</t>
  </si>
  <si>
    <t>ООО ТК Савитар г. Екб сумма 906490,40 потребность 24-25г. Обьеденена. Заявка в АСФЗД в отд 85 с 10.09.2024</t>
  </si>
  <si>
    <t>13 651,20 оплата по счету, на согласованиии у директора по экономике финансам с 10.09</t>
  </si>
  <si>
    <t>Запрос на проведение закупки в 422 отд., ждем протокол</t>
  </si>
  <si>
    <t>в предмете договора "Поставка эмали ХВ-518, грунта ФЛ-03К, сиккатива"</t>
  </si>
  <si>
    <t>удаить</t>
  </si>
  <si>
    <t>исзменить сумму на 2,5 млн.</t>
  </si>
  <si>
    <t>Изменить сумму на 14 млн. подготовка запроса,</t>
  </si>
  <si>
    <t>изменить сумму на 1,5 млн.
заключение договора в 2025 году, возможно будет замена на другую технологию. ООО "Маркит" работает только на условиях 100% предоплаты, т.к. металл производства США</t>
  </si>
  <si>
    <t>Изменить сумму на 410 тыс. руб, подготовка запроса,</t>
  </si>
  <si>
    <t>оформленна</t>
  </si>
  <si>
    <t>Поставка ремней кожаных</t>
  </si>
  <si>
    <t>Добавить в справку.
Договор 2325187912341422241000262/3253к/426 от 23.08.2024 г. Сумма 251 175,00 руб.
100 % предоплата</t>
  </si>
  <si>
    <t>2325187912341422241000262/3453к/426</t>
  </si>
  <si>
    <t>Поставка деталей войлочных</t>
  </si>
  <si>
    <t>Добавить в справку.
Договор 2325187912341422241000262/3453к/426 от 09.09.2024 г. Сумма 89 799,51 руб.
100 % предоплата</t>
  </si>
  <si>
    <t>Запросы направлены</t>
  </si>
  <si>
    <t>12 997 656,00 Документация в 85 отделе с 10.09.2024</t>
  </si>
  <si>
    <t>Заключение договора в I кв. 2025г, срок хранения 3 мес.</t>
  </si>
  <si>
    <t>запрос цен на подписи</t>
  </si>
  <si>
    <t>предложения получены, подготовка документов к ТЗП, ориентировочный срок заключения договора до 31.10.2024 Сумма 3 214 080,00</t>
  </si>
  <si>
    <t xml:space="preserve">направлен запрос 426-11/2228 </t>
  </si>
  <si>
    <t>Гаст 18 600,00 оплата по счету, письмо на согласовании В.В. Мороз, Комэлектротех 10 003,08 оплата по счету, письмо на согласовании В.В. Моро</t>
  </si>
  <si>
    <t>Изменить сумму договора на 300 000,00 руб.
заключение договора в 2025 году, возможно будет замена на другую технологию. ООО "Маркит" работает только на условиях 100% предоплаты, т.к. металл производства США</t>
  </si>
  <si>
    <t xml:space="preserve">В адрес ООО НПФ "ЛВС" направлено ДС к действующему договору об изменении условий договора в части условий оплаты. ООО НПФ "ЛВС" подписало данное ДС с протоколом разногласий, в части окончательного расчета, а именно: окончательный расчет в размере 20% от стоимости продукции -в течение 30 дней с момента получения денежных средств от Государственного заказчика в счет окончательного расчета, но не позднее 31.12.2025 года, в случае если на 30 дней до наступления окончательный расчет по государственному контракту не будет произведен. 09.09.2024 в адрес ООО НПФ "ЛВС" направлен подписанный протокол разногласий с договорным письмом в котором АО НПК "Уралвагонзавод" настаивает на условиях оплаты изложенных в дополнительном соглашении. </t>
  </si>
  <si>
    <t xml:space="preserve">В адрес ПАО  "ММК" направлено ДС к действующему договору об изменении условий договора в части условий оплаты. ПАО "ММК" данные ДС не подписало, аргументирую тем, что несвоевременное, либо не в полном объеме поступление денежных средств по договорам в рамках ГОЗ для ПАО "ММК" не является причиной срыва, либо неисполнения обязательств взятых ПАО "ММК" в рамках исполнения договоров в рамках ГОЗ. Заказ АО НПК "Уралвагонзавод" размещен в производство в полном объеме.Отгрузка происходит  по мере готовности металлопроката. </t>
  </si>
  <si>
    <t>ОБС открыт. ЗнП оформлена 06.09.2024.</t>
  </si>
  <si>
    <t xml:space="preserve">1123-25-10+20
</t>
  </si>
  <si>
    <t>ОБС открыт. ЗнП  на оформлении с  06.09.2024. Планируемый срок оформления ЗнП - 12.09.2024</t>
  </si>
  <si>
    <t>29.08.2024 года на эл. Площадке размещен закрытый аукцион в электронной форме. Срок окончание приема заявок 16.09.2024.</t>
  </si>
  <si>
    <t>23.08.2024 года договор (на зеркальных условиях) подписанный со стороны АО "НПК "Уралвагонзавод" направлен в адрес контрагента. 28.08.2024 года получен отказ  поставщика от подписания договора. 30.08.2024 направлена сл.записка на управление 16 о необходимости обращения в прокуратуру. 04.09.2024 года в адрес контрагента повторно направлен исх. №16-24/3206к  о необходимости подписать данный договор. На 11.09.2024 запланировано проведение ВКС с контрагентом</t>
  </si>
  <si>
    <t xml:space="preserve">В адрес ООО НПФ "ЛВС" направлено ДС об изменении условий договора в части условий оплаты. ООО НПФ "ЛВС" подписало данное ДС с протоколом разногласий, в части окончательного расчета, а именно: окончательный расчет в размере 20% от стоимости продукции -в течение 30 дней с момента получения денежных средств от Государственного заказчика в счет окончательного расчета, но не позднее 31.12.2025 года, в случае если на 30 дней до настуления окончательный расчет по государственному контракту не будет произведен. 09.09.2024 в адрес ООО НПФ "ЛВС" направлен подписанный протокол разногласий с договорным письмом в котором АО НПК "Уралвагонзавод" настаивает на условиях оплаты изложенных в дополнительном соглашении. </t>
  </si>
  <si>
    <t>Заявка на проведение платежа передана в отдел 421 с 10.09.2024. Ожидаемый срок оформления 13.09.2024</t>
  </si>
  <si>
    <t>ОБС открыт. ЗнП  на оформлении с 06.09.2024. Планируемый срок оформления ЗнП - 12.09.2024</t>
  </si>
  <si>
    <t>Ожидаем специфкацию с ценами и условиями оплаты . В адрес контрагента 11.09.2024 командирован представитель Общества</t>
  </si>
  <si>
    <t xml:space="preserve">Договор подписан со стороны АО НПК "Уралвагонзавод", 05.09.2024 года направлен в адрес контрагента на подписание. </t>
  </si>
  <si>
    <t>Протокол согласования разногласий направлен поставщику (с зеркальными условиями расчета). На 12.09.2024 запланировано проведение ВКС</t>
  </si>
  <si>
    <t>Проведение ТЗП на зеркальных условиях запланировано в 4 квартале 2024 года</t>
  </si>
  <si>
    <t>Поставка алюминиевого проката</t>
  </si>
  <si>
    <t>АО "ПНТЗ" отказывается подписывать договора на "зеркальных" условиях. Предлагаемые условия оплаты :"80 % предоплаты, 20% оплата с даты отгрузки в течении 90 дней". На 12.09.2024 запланировано проведение ВКС</t>
  </si>
  <si>
    <t>Сформирована закупочная документация для проведения закупки как у единственного поставщика на зеркальных условиях. Планируемый срок заключения договора и оформления ЗнП - сентябрь 2024</t>
  </si>
  <si>
    <t xml:space="preserve">Протокол согласования разногласий №2 в 16 отделе (зеркальные условия).  На 12.09.2024 запланировано проведение ВКС  </t>
  </si>
  <si>
    <t>Контрагент отказывается подписывать договора на "зеркальных" условиях. Предлагаемые условия оплаты - 100 % предоплата. В адрес поставщика будет направлен договор с протоклом разногасий с "зеркальными условиями". Запланировано проведение ВКС</t>
  </si>
  <si>
    <t>Расчет НМЦ с10.09.2024 года в отделе 59. Заключение договора и оформление ЗнП в сентябре 2024</t>
  </si>
  <si>
    <t xml:space="preserve">В адрес ООО НПФ "ЛВС" направлено ДС об изменении условий договора в части условий оплаты. ООО НПФ "ЛВС" подписало данное ДС с протоколом разногласий, в части окончательного расчета, а именно: окончательный расчет в размере 20% от стоимости продукции -в течение 30 дней с момента получения денежных средств от Государственного заказчика в счет окончательного расчета, но не позднее 31.12.2025 года, в случае если на 30 дней до настуления окончательный расчет по госдударственному контракту не будет произведен. 09.09.2024 в адрес ООО НПФ "ЛВС" направлен подписанный протокол разногласий с договорным письмом в котором АО НПК "Уралвагонзавод" настаивает на условиях оплаты изложенных в дополнительном соглашении. </t>
  </si>
  <si>
    <t>оформлена</t>
  </si>
  <si>
    <t>100% предоплата без открытия ОБС.</t>
  </si>
  <si>
    <t xml:space="preserve"> 09.09.2024 года от поставщика получен счет на оплату, оформляется ЗнП аванс 40% на сумму 950 404,82 руб. ЗнП на согласовании в отделе 18 с 09.09.2024 года. Планируемый срок оформления - 13.09.2024</t>
  </si>
  <si>
    <t>Договор заключен. 05.09.2024 года получено уведомление об открытии ОБС. ЗнП  на оформлении с 05.09.2024. Планируемый срок оформления ЗнП - 12.09.2024</t>
  </si>
  <si>
    <t xml:space="preserve">Оформляется закупочная процедура на зеркальных условиях. Контрагент не согласен с данными условиями. Запланировано проведение ВКС 11.09.2024 года </t>
  </si>
  <si>
    <t>Договор на согласовании в АСЭД. Планируемый срок заключения договора и оформления ЗнП - сентябрь 2024</t>
  </si>
  <si>
    <t>Договор заключен. 09.09.2024 года заявка на проведение авансирования в размере 40% оформлена</t>
  </si>
  <si>
    <t>Договор подписан со стороны АО НПК "Уралвагонзавод", 29.08.2024 направлен в адрес поставщика. Планируемый срок заключения договора и оформления ЗнП - сентябрь 2024</t>
  </si>
  <si>
    <t>Контрагент не согласен с зеркальными условиями расчетов. Направлен запрос коммерчесского предложения. Запланировано проведение ВКС 12.09.2024</t>
  </si>
  <si>
    <t>Направлены запросы. Контрагент производит расчет стоимости. Предварительно, коммерческое предложение поступит до 20.09.2024</t>
  </si>
  <si>
    <t>Направлены запросы. Предварительно, коммерчесское предложение поступит до 30.09.2024 года</t>
  </si>
  <si>
    <t>2226187415091412241009022/2880к/424 от 10.06.2024</t>
  </si>
  <si>
    <t xml:space="preserve">05.09.2024 Цены согласованы. Закупочная документация на согласовании в службах Общества.Договор на "зеркальных условиях" будет направлен в адрес контрагента до 20.09.2024 года. ПАО "ММК" не согласно на зеркальные условия оплаты. Предлагаемые условия оплаты ПАО "ММК" - 100% предоплата. </t>
  </si>
  <si>
    <t>Оплачено 40% 30.07.2024г. Необходима доплата до 80%</t>
  </si>
  <si>
    <t>20.09.24г.</t>
  </si>
  <si>
    <t>знп на 50% аванса - оформлена
Не подписан перечень иностранных соисполнителей.
Срок проведения оплаты до 20.09.24г.</t>
  </si>
  <si>
    <t>Доп.соглашение по введению ИГК, реквизитам и усл. оплаты направлено поставщику 04.09.24г.</t>
  </si>
  <si>
    <t>Оплачено 06.09.2024</t>
  </si>
  <si>
    <t>Доп. соглашение в оформлении.
Будет ПР по условиям оплаты. 
Срок заключения до 13.09.2024г., 
Срок сдачи платежного поручения до 17.09.2024г.</t>
  </si>
  <si>
    <t>Дополнительное соглашение  после изменения тзп  с протоколом разногласий по условиям оплаты будет направлен поставщику 09.09.24г, (ок расчет до 31.03.26г.)  Планируется к заключению до 13.09.24, 
ЗНП планируется к сдаче до 18.09.24</t>
  </si>
  <si>
    <t>Не заключен. 09.09.2024 в 16 упр. Срок заключения - 16.09.2024</t>
  </si>
  <si>
    <t>Аванс 100% оформлен 10.09.2024</t>
  </si>
  <si>
    <t>ждем договор от Поставщика</t>
  </si>
  <si>
    <t>Заявка №429-88/0998 напрвлена 17.07.2024г. 
Оформление Доп соглашения, получсенного от АО "ЗОМЗ" - противоречит нормам ЕПоЗ.
Необходимо заключение нового договора. Срок заключения договора до 30.09.2024г. Срок здачи ЗНП до 07.10.2024г. Поставщику будет направлен до 12.09.2024г. договор в редакции УВЗ.</t>
  </si>
  <si>
    <t>Дополнительное соглашение с 12.08.2024
От Поставщика получен исх. от 29.08.2024, в котором сообщает, что не может принять условия расчетов в редакции УВЗ
КМЗ: Аванс 80%, ок расчет до 31.12.2025
УВЗ: Аванс до 80%, ок расчет после МО РФ
Ответ в КМЗ на подписи, будет отправлено до 10.09.2024</t>
  </si>
  <si>
    <t>Не согласован срок поставки
КЭМЗ: "март - октябрь 2025"
УВЗ: "март - до 01.10.2025"
Ответ будет направлен Поставщику в срок до 10.09.2024</t>
  </si>
  <si>
    <t>13.09.24г.</t>
  </si>
  <si>
    <t>Договор Заключен 05.09.24, нет счета , планируется до 13.09.24</t>
  </si>
  <si>
    <t>К дополнительному соглашению готовится протокол разногласий со стороны поставщика. Ориентировочная дата заключения до 10.10.2024г.</t>
  </si>
  <si>
    <t>договор  с протоколом  разногласий. Замечания упр.16по пунктам Постановления Правительства и по условиям оплаты) у поставщика с 26.08.24</t>
  </si>
  <si>
    <t>Доп согл №1 заключено 02.09.24г., счет на предоплату получен, платеж поруч на оформлении</t>
  </si>
  <si>
    <t>16.09.2024г.</t>
  </si>
  <si>
    <t>30.09.24г.</t>
  </si>
  <si>
    <t xml:space="preserve">06.09.24г. Получен протокол  урегулирования разногласий.
Не согласованы условия оплаты (ок расчет до 01.03.2026г.)
Будет направлен в адрес поставщика с протоколом разногласий до 13.09.24г. </t>
  </si>
  <si>
    <t>Договор заключен 06.09.2024 
Ждем счет</t>
  </si>
  <si>
    <t>Дополнительное соглашение на согл у поставщика с 16.08.24г. Письмо на подп 02.09</t>
  </si>
  <si>
    <t>Договор заключен (Без учета урегулирования условий расчетов, Поставщик настаивает на Авансе 90%) ждем открытия ОБС и счет для оформления ЗНП. Заявка на оплату на оформлении с 07.09.2024г.</t>
  </si>
  <si>
    <t>Дополнительное соглашение с  протоколом разногласий по срокам поставки и   условиям оплаты
у поставщика с 09.08.24 (их условия оплаты: аванс 80%, ок.р. не позднее 60 дн с даты отгрузки ). В адрес Поставщика 04.09.24 направлено ускорительное письмо о согласовании разногласий</t>
  </si>
  <si>
    <t>Договор с протоколом согл. разногласий (замечания 16 отд.) на стороне АО "УКБП" с 04.09.2024г. Срок заключения до 20.09.2024г. 
Срок сдачи ЗНП до 30.09.2024г.</t>
  </si>
  <si>
    <t>договор с ПР на согласованиив АСЭД с 29.08.2024г.</t>
  </si>
  <si>
    <t>Договор заключен. Нет счета</t>
  </si>
  <si>
    <t>платежка 40% сдана 05.09.24 в 421</t>
  </si>
  <si>
    <t>420 413,76 (40%) - оформлено 05.07.2024
Оплачено 03.09.2024
Платежка на сумму 630 620,64 будет оформлена до 13.09.2024 (ЭКБ)</t>
  </si>
  <si>
    <t>аванс в размере 60% за 55 изд. оплачен</t>
  </si>
  <si>
    <t>ЗнП на согласовании в 18 отделе, будет сдано до 11.09.2024</t>
  </si>
  <si>
    <t xml:space="preserve">Договор заключен. Необходим счет. Срок сдачи ЗНП до 13.09.2024г. </t>
  </si>
  <si>
    <t>доплата не требуется</t>
  </si>
  <si>
    <t>Оплачен, платить не надо</t>
  </si>
  <si>
    <t xml:space="preserve">заключен, оплачено 40% </t>
  </si>
  <si>
    <t xml:space="preserve">заключен, оплачено 40%  </t>
  </si>
  <si>
    <t>ДС №1 (44+153) заключено 06.09.2024г. 40% 1 321 816,32 оплачено за 44м. За 153м. Ожидается счет на оплату.</t>
  </si>
  <si>
    <t>40% сдано в 421 06.09.24г.</t>
  </si>
  <si>
    <t>Дополнительное соглашение заключено. На изм. Тзп в 422 отделе.  Срок сдачи аванса до13.09.2024</t>
  </si>
  <si>
    <t>Договор заключен. Платежка в оформлении</t>
  </si>
  <si>
    <t>Договор с ПР по условиям оплаты у Поставщика с 21.08.2024</t>
  </si>
  <si>
    <t>Договор заключен 
ЗнП аванс 100% в оформлении с 06.09.2024</t>
  </si>
  <si>
    <t>Доп согл №1 (поставка 2025г.) - не заключен, от поставщика получен исх. о переносе сроков (44 машин)поставки - служ зап. на подписи у ИД с 06.09.24г.
Ответ в адрес Поставщика будет направлен до 13.09.2024г. 
КЭМЗ: 4 квартал 2024г.
УВЗ: 3 квартал - до 15.11.2024г.</t>
  </si>
  <si>
    <t>ПР к ДС на согласовании в АСЭД (Поставщик некорректно указал сумму договора), ответ будет направлен в срок до 13.09.2024г. Ориентировочная дата заключения 15.10.2024г.</t>
  </si>
  <si>
    <t>Договор на оформлении у Поставщика, ориентировочная дата получения договора до 13.09.2024</t>
  </si>
  <si>
    <t xml:space="preserve">Заключен, оплачен 80% </t>
  </si>
  <si>
    <t>Протокол разногласий к Доп согл№4 с 02.09.2024г. у Поставщика по условиям расчетов.
Ориентровочная дата ответа до 11.09.2024</t>
  </si>
  <si>
    <t>Согласование ПСР в АСЭД  приостановлено. Направлен запрос на предоставление Заключения 607 ВП МО РФ на ориентир.цены 2025г.</t>
  </si>
  <si>
    <t>ДС на согласовании у Поставщика в редакции УВЗ, ориентировочная дата ответа до 20.09.2024</t>
  </si>
  <si>
    <t>Договор  протоколом согласования разногласий находиться на согласовании у служб Общества.
Будет направлен. 09.09.2024</t>
  </si>
  <si>
    <t>на ТЗП в 422 с 06.09. (будут разногл по усл. опл., неустойка)</t>
  </si>
  <si>
    <t xml:space="preserve"> Доп согл №5 у поставщика с 13.08.24г. Исх.№429-174/2254 от 16.08.24г. (об ускор согл доп согл №5). Повтор 02.09</t>
  </si>
  <si>
    <t xml:space="preserve">Договорное письмо к ПР к ДС  дог.3975к (по условиям оплаты ) на изменеии закупки. </t>
  </si>
  <si>
    <t>Договор с уточненными спецификациями (разбивка 44 и 153) на стороне АО "УКБП" с 02.09.2024г. Срок заключения до 20.09.2024г. Срок сдачи ЗНП до 30.09.2024г.</t>
  </si>
  <si>
    <t>с 09.09.24 ПСР на оформлении в 16 упр. (будут разногласия по усл. опл. (предлагаем 100% предоплату согласно сз №429-207/2475 от 13.08.24 на ИД))</t>
  </si>
  <si>
    <t>договор с ПР к письму на оформлении в АСЭД с 29.08.2024г.</t>
  </si>
  <si>
    <t>Договор заключен. 
Проавансировано 40% 26.08.2024г. Необходимо доавансирование до 80% в 1 кв. 2025г.</t>
  </si>
  <si>
    <t>Оплачен 20%, необходимо доавансирование</t>
  </si>
  <si>
    <t xml:space="preserve">Договор заключен                         Нет  уведомление об открытии счета Поставщика и счета </t>
  </si>
  <si>
    <t>оплачено 20%
Платежка до 40% будет сдана до 10.09.2024</t>
  </si>
  <si>
    <t>Заявка оформлена 10.09.2024</t>
  </si>
  <si>
    <t>Аванс 100% в сумме 6 761 253,60 оформлен 09.09.2024 и передан в 18 отд</t>
  </si>
  <si>
    <t>ждем договор от поставщика</t>
  </si>
  <si>
    <t>Договор в 16 управлении на Закупке по 55 пункту. Срок заключения договора до 30.09.2024 и сдачи ЗНП до 07.10.2024г.</t>
  </si>
  <si>
    <t>Договор заключен (За исключением урегулирования условий расчетов, Поставщик настаивает на Авансе 90%) Счет получен ЗНП 40% - 39 276 933,75 сдана 02.09.2024</t>
  </si>
  <si>
    <t>После ТЗП в 16 отделе с 04.09, будет отправлен Поставщику 09.09.2024 (договор в редакции УВЗ)</t>
  </si>
  <si>
    <t xml:space="preserve">ДС2 заключено некоррект, оформляется ДС на фиксирование цены. Ориентировочная дата заключения 12.10.2024г.
</t>
  </si>
  <si>
    <t>ПР к ДС у Поставщик с 06.09
Некорректна указана сумма договора, ориентировочная дата ответа до 13.09.2024</t>
  </si>
  <si>
    <t xml:space="preserve">Для обеспечения объёма 180изд. - оформляется 3 договора (10+81+89)
Договор на 10 шт договор заключен (поставщик оформляет Доп. соглашение по корректировке сроков поставки ПКИ - в соответствии с согласованным графиком).
Договор на  81 шт. заключен, в оформлении доп.согл по внесению ИГК и корректировке сроков поставки ПКИ. Договор на 89 шт. с протоколом разногласий по усл. оплаты у поставщика. </t>
  </si>
  <si>
    <t>На согласовании у Поставщика. Ориентировочная дата заключения 09.10.2024г.</t>
  </si>
  <si>
    <t>Доп согл №1 на изменении закупки в 422 отд (повторно с 03.09.24г.) будет заключено в срок до 11.09.2024</t>
  </si>
  <si>
    <t>В адрес поставщика направлена заявка на поставку №429-174/2362 от 27.08.24г. Ориентировочная дата заключения договора - ноябрь 2024г.</t>
  </si>
  <si>
    <t>Оплата по счету</t>
  </si>
  <si>
    <t xml:space="preserve">с 09.09.24г. ПСР на оформлении в 16 упр.  (не согл. усл. опл) </t>
  </si>
  <si>
    <t>ПР у Поставщикас 20.08 (не согласованы условия расчетов)
Ориентировочная дата ответ до 17.09.2024</t>
  </si>
  <si>
    <t>Договорное письмо к ДС с ПР (по условиям платежей ) для проведения изменения ТЗП на оформлении в упр.16</t>
  </si>
  <si>
    <t>Договор на стороне АО "УКБП" с протоколом разногласий по условиям оплаты с 22.08.2024. Срок заключения договора до 20.09.2024. Срок сдачи ЗНП до 30.09.2024г.</t>
  </si>
  <si>
    <t>Договор в 16 управлении с протоколом разногласий по усл. опл. с 05.09.2024. Срок заключения до 30.09.2024. Срок сдачи ЗНП до 07.10.2024г.</t>
  </si>
  <si>
    <t>Посте изм ТЗП в 16 отд с 04.09. будет отправлен Поставщику 09.09 (не согласован окончательный расчет и срок поставки)
УКБТМ: 1-3 квартал, окончательный расчет после поставки продукции
УВЗ: 1-2 квартал, окончательный расчет после получения дс от МО РФ</t>
  </si>
  <si>
    <t>в юр.отд. (16) с 09.09.24 без замечаний</t>
  </si>
  <si>
    <t>ДС по цене на 2025г на согл в АСЭД, будет заключен в срок до 13.09.2024</t>
  </si>
  <si>
    <t>Аванс 60% по договору оплачен 25.04.24г.
Необходима доплата по Доп согл №1 за 2025г 40% - 336 153,60р. С НДС.
Доп согл №1 на соглас по срокам поставки в 422 отд. с 06.09.24г.</t>
  </si>
  <si>
    <t>аванс 50% оплачен 18.05.24 необходимо доавансирование до 80%</t>
  </si>
  <si>
    <t>ав.50% оплачен 17.04.24необходимо доавансирование до 80%</t>
  </si>
  <si>
    <t>Договор с ПУР к ПР к договору в части фиксирования цены по п. 6.2 с 06.09.2024 у Поставщика (будет заключен)</t>
  </si>
  <si>
    <t>80% оплачено,
оплачено 65% - 538 000,63 от 05.08.24</t>
  </si>
  <si>
    <t>Доп. заключен. Проавансировано 40% 08.08.2024г. Необходимо доавансирование до 80% в 1 кв. 2025г.</t>
  </si>
  <si>
    <t>Доп. заключен. Проавансировано 40% 13.08.2024г. Необходимо доавансирование до 80% в 1 кв. 2025г.</t>
  </si>
  <si>
    <t>Аванс 50% оплачен.</t>
  </si>
  <si>
    <t>Договор с ПР после ТЗП в 16 отд с 04.09., будет отправлен Поставщику 09.09 с условиями оплаты зеркально ГК)</t>
  </si>
  <si>
    <t>Оплачен</t>
  </si>
  <si>
    <t>Договор заключен, ЗнП будет сдано в срок до 11.09.2024</t>
  </si>
  <si>
    <t>Продукция получена.</t>
  </si>
  <si>
    <t>Договор заключен. Проавансировано 40 % 
26.07.2024г. Необходимо доавансирование 
до 80% в 1 кв. 2025г.</t>
  </si>
  <si>
    <t>Договор на строке РПЗ с 06.09.2024г. По 55 пункту с протоколом разногласий по усл. Оплаты. Срок заключения договора до 30.09.2024г.</t>
  </si>
  <si>
    <t>Заключен. Нет счета на аванс</t>
  </si>
  <si>
    <t>заявка 40% сдана в 421 06.09.24г.</t>
  </si>
  <si>
    <t>40% на согл в 18</t>
  </si>
  <si>
    <t xml:space="preserve">аванс от суммы договора в размере 50%  на сумму 202 559,04 руб.за поставку 2024 и 2025 год оплачен </t>
  </si>
  <si>
    <t>Поставка 2024 года</t>
  </si>
  <si>
    <t>Договор на согласовании в службах Общества
Планируемый срок заключения - 11.09.2024</t>
  </si>
  <si>
    <t>заключен 21.08.2024 года Оплачен 04.09.2024</t>
  </si>
  <si>
    <t>Договор заключен. Оплачено 40% 26.08.2024г. Необходимо доавансирование до 80% в 1 кв 2025г.</t>
  </si>
  <si>
    <t>Договор заключен. 
С 100% оплачен  29.08.2024</t>
  </si>
  <si>
    <t>Договор заключен.
Счет получен 06.09.2024
ЗнП аванс в размере 50%  на сумму 214 907,56 в оформлении с 06.09.2024</t>
  </si>
  <si>
    <t>договор прошел АСЭД. На оформл ТЗП с 05.09</t>
  </si>
  <si>
    <t>Получен ПР к доп соглашению в части условий оплаты. 80 аванс, ок расчет после отгрузки.</t>
  </si>
  <si>
    <t>Договор заключен. Нет счета от Поставщика</t>
  </si>
  <si>
    <t>Ожидаем договор поставки от Поставщика. Повторно 22.08.2024 г.
Предварительный срок согласования - 27.09.2024</t>
  </si>
  <si>
    <t>Договор с протоколом разногласий в части  условий оплаты у поставщика с 05.09.24. готовят протокол урегулирования разногласий по условиям оплаты до 10.09.24, планируемая дата заключения договора, при условии урегулирования разногласий, до 13.09.24, планируемая сдача ЗНП до 20.09.24</t>
  </si>
  <si>
    <t>Протокол согласования разногласий, в части изменения условий оплат на регистрации в 16 с 29.08.2024. 
Протокол согласования разногласий направлен Поставщику 05.09.2024</t>
  </si>
  <si>
    <t>31.09.2024</t>
  </si>
  <si>
    <t>ПР Поставщика отклонен по постановлению исх.16-24/3145к от 04.09.2024
ОБС не открыт</t>
  </si>
  <si>
    <t>Аванс 100% в сумме 1 160 806,66 оформлен 09.09.2024 и передан в 18 отд</t>
  </si>
  <si>
    <t>Договор в 16 упр. с 09.09.2024 будет заключен</t>
  </si>
  <si>
    <t>ПСР со стороны поставщика на согл в АСЭД (искл. Промыш. Палату, пролонгацию)</t>
  </si>
  <si>
    <t>Счет получен 06.09.2024
ЗнП сдано в бюро ГОЗ - 07.09.2024</t>
  </si>
  <si>
    <t>Пакет документов для проведения торгово-закупочной процедуры в оформлении с 03.09.2024г. Срок заключения договора до 30.09.2024г. Срок сдачи ЗНП до 07.10.2024г.</t>
  </si>
  <si>
    <t>Договор с протоколом разногласий на регистарции в Упр. 16 с 05.09.2024
Готовиться письмо касательно отклонения ПР согласно ПП 2532</t>
  </si>
  <si>
    <t>Протокол разногласий на согласовании в службах Общества с 27.09.2024
Не согласованы условия расчетов, ответ в адрес Поставщика будет направлен в срок до 12.09.2024</t>
  </si>
  <si>
    <t>Ответ направлен Поставщику 06.09
Не согласовано предоставление Заключение 336 ВП МО РФ, и пункт о том, что поставщик не преступает в изготовлению до получения аванса 80%</t>
  </si>
  <si>
    <t>На согласовании запрос на проведение закупки с 04.09.2024г.</t>
  </si>
  <si>
    <t>Договор в редакци УВЗ у поставщика с 05.09.</t>
  </si>
  <si>
    <t>Договор в редакции Поставщика на подписи у ВП 
Ориентировочный срок предоставления до 09.09.2024
Срок заключения до 27.09.2024</t>
  </si>
  <si>
    <t>Нет счета.Оплата запланирована в октябре 2024 по инициативе поставщика.</t>
  </si>
  <si>
    <t>Отсутствуют ориентировочные  цены на 2025г.</t>
  </si>
  <si>
    <t>На ТЗП с 05.09.24  с прот разн по условием оплаты. При условии согл пр.  разногласий поставщиком дог будет заключен  ориентировочно до 23.09. Заявка на ЗНП будет сдана до 01.10.</t>
  </si>
  <si>
    <t>С 04.09.2024г. Оформляется пакет на ТЗП</t>
  </si>
  <si>
    <t>Аванс 40% в сумме 479 001 199,60 оформлен 06.09.2024 и передан в 18 отд</t>
  </si>
  <si>
    <t>Ожидаем договор поставки от Поставщика. Повторно 26.08.2024
Предварительный срок согласования - 27.09.2024</t>
  </si>
  <si>
    <t>На изм. ТЗП с 29.08.2024г. Будет заключен до 20.09.24</t>
  </si>
  <si>
    <t>Договор не заключен. На заключении в отделе 85 с 06.09.2024г. Срок заключения договора до 13.09.2024г. Срок сдачи платежного поручения до 19.09.2024г.</t>
  </si>
  <si>
    <t>Договор на стороне ПАО "РОМЗ" с протоколом разногласий по условиям оплаты с 03.09.2024г. Срок заключения до 30.09.2024г. Срок сдачи ЗНП - 07.10.2024г.</t>
  </si>
  <si>
    <t>На стороне УВЗ ПСР с 31.08.2024г. Бкдет заключен до 30.09.24</t>
  </si>
  <si>
    <t>Доп соглашение на введение ИГК, реквизитов, пролонгации и объема на 2026 год в 422 отделе. Предварительный срок согласования - 13.09.2024</t>
  </si>
  <si>
    <t>Договор заключен 05.09.2024
Платежка в оформлении</t>
  </si>
  <si>
    <t>Дог на согл в АСЭД с 03.09 (будут разногл по усл. опл)</t>
  </si>
  <si>
    <t>Договор пришел по эл.п. 02.09.24. На согл в АСЭД с 02.09 (будут разногл по усл. опл.)</t>
  </si>
  <si>
    <t xml:space="preserve">ПР к договору в АСЭД с 03.09.24 </t>
  </si>
  <si>
    <t>Пакет документов для оформлении ТЗП с 02.09.24г. (не согл. усл. опл. за 26г.)</t>
  </si>
  <si>
    <t>Протокол согласования разногласий (по условиям оплаты) к договору в АСЭД с 06.09.2024г. Срок заключения до 30.09.2024. Срок сдачи ЗНП до 07.10.2024г.</t>
  </si>
  <si>
    <t>ПР на согл в АСЭДе с 29.08
Не согласован срок поставки и окончательный расчет
УКБТМ: 1-3 квартал, окончательный расчет после поставки продукции
УВЗ: 1-2 квартал, окончательный расчет после получения дс от МО РФ</t>
  </si>
  <si>
    <t>Договор в юр. Управлении, готовится протокол разногласий по ценам с 06.09.24.  Планируемая дата заключения договора, при условии согласования разногласий потавщиком до 13.09.24 . Планируемая дата сдачи ЗНП до 20.09.24</t>
  </si>
  <si>
    <t>Договор с ПСР в АСЭД с 29.08.2024г.</t>
  </si>
  <si>
    <t>Договор на согласовании у служб Общества. Предварительный срок согласования - 20.09.2024</t>
  </si>
  <si>
    <t>Заявка №429-88/0996 от 17.07.2024г.</t>
  </si>
  <si>
    <t>Аванс 100% в сумме 1 901 330,69 оформлен 09.09.2024 и передан в 18 отд</t>
  </si>
  <si>
    <t>Погрешность</t>
  </si>
  <si>
    <t>Свод по 6 ИГК (раскассирование)</t>
  </si>
  <si>
    <t>Срок оформления ЗнП на аванс</t>
  </si>
  <si>
    <t>-</t>
  </si>
  <si>
    <t>Неоплаченный аванс по условиям договора</t>
  </si>
  <si>
    <t>Неоплаченный аванс на 2025 год 
(40% и иные)</t>
  </si>
  <si>
    <t>ФАКТ оплаты</t>
  </si>
  <si>
    <t>в том числе резерв на 2025 год</t>
  </si>
  <si>
    <t>Справка по 6 ИГК</t>
  </si>
  <si>
    <t>Осталось доплатить до 80 %</t>
  </si>
  <si>
    <t>Сумма ЗнП  на доплату до 80% оформленные и сданные в отдел 421</t>
  </si>
  <si>
    <t>Сумма 80 % от суммы договора</t>
  </si>
  <si>
    <t>Планируемая дата заключения договора</t>
  </si>
  <si>
    <t>Необходимая сумма авансирования</t>
  </si>
  <si>
    <t>Оплачено из сданных ЗнП</t>
  </si>
  <si>
    <t>Осталось оплатить из сданных ЗнП</t>
  </si>
  <si>
    <t>Всего договоров</t>
  </si>
  <si>
    <t>Кол-во</t>
  </si>
  <si>
    <t>Сумма</t>
  </si>
  <si>
    <t>Заключено договоров</t>
  </si>
  <si>
    <t>Оформлено ЗнП</t>
  </si>
  <si>
    <t xml:space="preserve">Всего осталось оплатить авансов </t>
  </si>
  <si>
    <t>Сумма авансирования</t>
  </si>
  <si>
    <t>% авансирования</t>
  </si>
  <si>
    <t>Краткая справка по заключению договоров</t>
  </si>
  <si>
    <t>Всего:</t>
  </si>
  <si>
    <t>ВСЕГО по ГК __g:</t>
  </si>
  <si>
    <t>Справка по заключению договоров и оформлению ЗнП по ГК __g
на объем __y года</t>
  </si>
  <si>
    <t>%s</t>
  </si>
  <si>
    <t>Краткая справка по оформленным и неоплаченным ЗнП</t>
  </si>
  <si>
    <t>Краткая справка по не оформленным ЗнП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</si>
</sst>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\ _₽_-;\-* #,##0\ _₽_-;_-* &quot;-&quot;??\ _₽_-;_-@_-"/>
    <numFmt numFmtId="165" formatCode="#,##0.00;[Red]#,##0.00"/>
    <numFmt numFmtId="166" formatCode="dd/mm/yy;@"/>
  </numFmts>
  <fonts count="12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b/>
      <sz val="11"/>
      <color rgb="FF00B05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268">
    <xf numFmtId="0" fontId="0" fillId="0" borderId="0" xfId="0"/>
    <xf numFmtId="14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17" fontId="3" fillId="0" borderId="1" xfId="0" applyNumberFormat="1" applyFont="1" applyFill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2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center" wrapText="1"/>
    </xf>
    <xf numFmtId="43" fontId="3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43" fontId="6" fillId="0" borderId="1" xfId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3" fontId="3" fillId="0" borderId="1" xfId="1" applyFont="1" applyFill="1" applyBorder="1" applyAlignment="1">
      <alignment horizontal="right" vertical="center"/>
    </xf>
    <xf numFmtId="43" fontId="3" fillId="0" borderId="0" xfId="1" applyFont="1" applyFill="1" applyBorder="1" applyAlignment="1">
      <alignment vertical="center"/>
    </xf>
    <xf numFmtId="43" fontId="3" fillId="0" borderId="1" xfId="0" applyNumberFormat="1" applyFont="1" applyFill="1" applyBorder="1" applyAlignment="1">
      <alignment vertical="center"/>
    </xf>
    <xf numFmtId="43" fontId="3" fillId="0" borderId="1" xfId="1" applyFont="1" applyFill="1" applyBorder="1" applyAlignment="1">
      <alignment horizontal="right" vertical="center" wrapText="1"/>
    </xf>
    <xf numFmtId="14" fontId="3" fillId="0" borderId="1" xfId="1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right" vertical="center"/>
    </xf>
    <xf numFmtId="49" fontId="3" fillId="0" borderId="1" xfId="1" applyNumberFormat="1" applyFont="1" applyFill="1" applyBorder="1" applyAlignment="1">
      <alignment horizontal="right" vertical="center" wrapText="1"/>
    </xf>
    <xf numFmtId="43" fontId="6" fillId="0" borderId="1" xfId="1" applyFont="1" applyFill="1" applyBorder="1" applyAlignment="1">
      <alignment vertical="center"/>
    </xf>
    <xf numFmtId="43" fontId="6" fillId="0" borderId="1" xfId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vertical="center" wrapText="1"/>
    </xf>
    <xf numFmtId="43" fontId="6" fillId="0" borderId="1" xfId="0" applyNumberFormat="1" applyFont="1" applyFill="1" applyBorder="1" applyAlignment="1">
      <alignment vertical="center"/>
    </xf>
    <xf numFmtId="43" fontId="6" fillId="0" borderId="1" xfId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43" fontId="3" fillId="0" borderId="1" xfId="1" applyNumberFormat="1" applyFont="1" applyFill="1" applyBorder="1" applyAlignment="1">
      <alignment vertical="center"/>
    </xf>
    <xf numFmtId="14" fontId="3" fillId="0" borderId="1" xfId="1" applyNumberFormat="1" applyFont="1" applyFill="1" applyBorder="1" applyAlignment="1">
      <alignment horizontal="center" vertical="center" wrapText="1"/>
    </xf>
    <xf numFmtId="43" fontId="3" fillId="0" borderId="1" xfId="1" applyNumberFormat="1" applyFont="1" applyFill="1" applyBorder="1" applyAlignment="1">
      <alignment horizontal="right" vertical="center"/>
    </xf>
    <xf numFmtId="17" fontId="3" fillId="0" borderId="1" xfId="1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left" vertical="center" wrapText="1"/>
    </xf>
    <xf numFmtId="14" fontId="3" fillId="0" borderId="1" xfId="1" applyNumberFormat="1" applyFont="1" applyFill="1" applyBorder="1" applyAlignment="1">
      <alignment vertical="center"/>
    </xf>
    <xf numFmtId="17" fontId="3" fillId="0" borderId="1" xfId="1" applyNumberFormat="1" applyFont="1" applyFill="1" applyBorder="1" applyAlignment="1">
      <alignment horizontal="left" vertical="center" wrapText="1"/>
    </xf>
    <xf numFmtId="0" fontId="3" fillId="0" borderId="0" xfId="0" applyFont="1" applyFill="1"/>
    <xf numFmtId="43" fontId="3" fillId="0" borderId="1" xfId="0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left" vertical="center" wrapText="1"/>
    </xf>
    <xf numFmtId="43" fontId="3" fillId="0" borderId="1" xfId="1" applyFont="1" applyFill="1" applyBorder="1"/>
    <xf numFmtId="43" fontId="6" fillId="0" borderId="1" xfId="1" applyFont="1" applyFill="1" applyBorder="1" applyAlignment="1">
      <alignment horizontal="left" vertical="center" wrapText="1"/>
    </xf>
    <xf numFmtId="0" fontId="6" fillId="0" borderId="0" xfId="0" applyFont="1" applyFill="1" applyBorder="1"/>
    <xf numFmtId="9" fontId="3" fillId="0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left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43" fontId="3" fillId="0" borderId="4" xfId="1" applyFont="1" applyFill="1" applyBorder="1" applyAlignment="1">
      <alignment vertical="center"/>
    </xf>
    <xf numFmtId="43" fontId="3" fillId="0" borderId="1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3" fontId="7" fillId="0" borderId="1" xfId="1" applyFont="1" applyFill="1" applyBorder="1" applyAlignment="1">
      <alignment vertical="center"/>
    </xf>
    <xf numFmtId="0" fontId="3" fillId="0" borderId="0" xfId="0" applyFont="1" applyFill="1" applyBorder="1"/>
    <xf numFmtId="43" fontId="3" fillId="0" borderId="3" xfId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3" fontId="7" fillId="0" borderId="1" xfId="1" applyFont="1" applyFill="1" applyBorder="1" applyAlignment="1">
      <alignment horizontal="center" vertical="center"/>
    </xf>
    <xf numFmtId="14" fontId="7" fillId="0" borderId="1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43" fontId="6" fillId="0" borderId="1" xfId="1" applyFont="1" applyFill="1" applyBorder="1"/>
    <xf numFmtId="43" fontId="6" fillId="0" borderId="1" xfId="1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164" fontId="3" fillId="0" borderId="1" xfId="1" applyNumberFormat="1" applyFont="1" applyFill="1" applyBorder="1" applyAlignment="1">
      <alignment horizontal="right" vertical="center"/>
    </xf>
    <xf numFmtId="17" fontId="3" fillId="0" borderId="1" xfId="1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right" vertical="center"/>
    </xf>
    <xf numFmtId="17" fontId="3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right" vertical="center"/>
    </xf>
    <xf numFmtId="165" fontId="3" fillId="0" borderId="1" xfId="1" applyNumberFormat="1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16" fontId="3" fillId="0" borderId="1" xfId="0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43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wrapText="1"/>
    </xf>
    <xf numFmtId="0" fontId="3" fillId="0" borderId="2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43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17" fontId="3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/>
    <xf numFmtId="0" fontId="3" fillId="0" borderId="1" xfId="0" applyFont="1" applyFill="1" applyBorder="1" applyAlignment="1">
      <alignment horizontal="left"/>
    </xf>
    <xf numFmtId="49" fontId="3" fillId="0" borderId="1" xfId="0" applyNumberFormat="1" applyFont="1" applyFill="1" applyBorder="1"/>
    <xf numFmtId="43" fontId="6" fillId="0" borderId="1" xfId="1" applyFont="1" applyFill="1" applyBorder="1" applyAlignment="1"/>
    <xf numFmtId="43" fontId="3" fillId="0" borderId="1" xfId="1" applyFont="1" applyFill="1" applyBorder="1" applyAlignment="1"/>
    <xf numFmtId="43" fontId="3" fillId="0" borderId="1" xfId="0" applyNumberFormat="1" applyFont="1" applyFill="1" applyBorder="1" applyAlignment="1">
      <alignment wrapText="1"/>
    </xf>
    <xf numFmtId="43" fontId="6" fillId="0" borderId="1" xfId="0" applyNumberFormat="1" applyFont="1" applyFill="1" applyBorder="1" applyAlignment="1"/>
    <xf numFmtId="0" fontId="3" fillId="0" borderId="4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43" fontId="3" fillId="0" borderId="1" xfId="0" applyNumberFormat="1" applyFont="1" applyFill="1" applyBorder="1"/>
    <xf numFmtId="0" fontId="3" fillId="0" borderId="7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43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43" fontId="3" fillId="0" borderId="3" xfId="0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/>
    <xf numFmtId="0" fontId="6" fillId="0" borderId="0" xfId="0" applyFont="1" applyFill="1"/>
    <xf numFmtId="43" fontId="3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center" wrapText="1"/>
    </xf>
    <xf numFmtId="43" fontId="3" fillId="0" borderId="1" xfId="1" applyFont="1" applyFill="1" applyBorder="1" applyAlignment="1">
      <alignment horizontal="center"/>
    </xf>
    <xf numFmtId="43" fontId="6" fillId="0" borderId="1" xfId="0" applyNumberFormat="1" applyFont="1" applyFill="1" applyBorder="1"/>
    <xf numFmtId="14" fontId="3" fillId="0" borderId="1" xfId="0" applyNumberFormat="1" applyFont="1" applyFill="1" applyBorder="1" applyAlignment="1"/>
    <xf numFmtId="14" fontId="5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6" fontId="3" fillId="0" borderId="1" xfId="0" applyNumberFormat="1" applyFont="1" applyFill="1" applyBorder="1" applyAlignment="1"/>
    <xf numFmtId="16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/>
    <xf numFmtId="0" fontId="3" fillId="0" borderId="0" xfId="0" applyFont="1" applyFill="1" applyAlignment="1">
      <alignment vertical="center" wrapText="1"/>
    </xf>
    <xf numFmtId="43" fontId="3" fillId="0" borderId="0" xfId="1" applyFont="1" applyFill="1" applyAlignment="1">
      <alignment vertical="center"/>
    </xf>
    <xf numFmtId="43" fontId="6" fillId="0" borderId="0" xfId="1" applyFont="1" applyFill="1" applyAlignment="1">
      <alignment vertical="center"/>
    </xf>
    <xf numFmtId="43" fontId="3" fillId="0" borderId="0" xfId="1" applyFont="1" applyFill="1" applyAlignment="1">
      <alignment horizontal="right" vertical="center"/>
    </xf>
    <xf numFmtId="0" fontId="3" fillId="0" borderId="9" xfId="0" applyFont="1" applyFill="1" applyBorder="1" applyAlignment="1">
      <alignment horizontal="left" vertical="center" wrapText="1"/>
    </xf>
    <xf numFmtId="43" fontId="3" fillId="0" borderId="0" xfId="0" applyNumberFormat="1" applyFont="1" applyFill="1" applyBorder="1" applyAlignment="1">
      <alignment vertical="center"/>
    </xf>
    <xf numFmtId="43" fontId="3" fillId="0" borderId="0" xfId="0" applyNumberFormat="1" applyFont="1" applyFill="1" applyBorder="1"/>
    <xf numFmtId="43" fontId="3" fillId="0" borderId="0" xfId="1" applyFont="1" applyFill="1" applyBorder="1"/>
    <xf numFmtId="0" fontId="3" fillId="0" borderId="0" xfId="0" applyFont="1" applyFill="1" applyBorder="1" applyAlignment="1"/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43" fontId="6" fillId="4" borderId="1" xfId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3" fontId="6" fillId="4" borderId="1" xfId="1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43" fontId="6" fillId="5" borderId="1" xfId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43" fontId="6" fillId="4" borderId="1" xfId="1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43" fontId="6" fillId="4" borderId="1" xfId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43" fontId="6" fillId="4" borderId="1" xfId="1" applyFont="1" applyFill="1" applyBorder="1" applyAlignment="1"/>
    <xf numFmtId="43" fontId="6" fillId="4" borderId="1" xfId="0" applyNumberFormat="1" applyFont="1" applyFill="1" applyBorder="1" applyAlignment="1"/>
    <xf numFmtId="0" fontId="6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wrapText="1"/>
    </xf>
    <xf numFmtId="43" fontId="6" fillId="4" borderId="1" xfId="0" applyNumberFormat="1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43" fontId="6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3" fontId="6" fillId="2" borderId="1" xfId="1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3" fontId="6" fillId="2" borderId="1" xfId="1" applyFont="1" applyFill="1" applyBorder="1" applyAlignment="1">
      <alignment horizontal="right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43" fontId="6" fillId="2" borderId="1" xfId="0" applyNumberFormat="1" applyFont="1" applyFill="1" applyBorder="1" applyAlignment="1"/>
    <xf numFmtId="0" fontId="3" fillId="2" borderId="1" xfId="0" applyFont="1" applyFill="1" applyBorder="1" applyAlignment="1">
      <alignment vertical="center" wrapText="1"/>
    </xf>
    <xf numFmtId="43" fontId="6" fillId="2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43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43" fontId="6" fillId="6" borderId="1" xfId="1" applyFont="1" applyFill="1" applyBorder="1" applyAlignment="1">
      <alignment horizontal="center" vertical="center" wrapText="1"/>
    </xf>
    <xf numFmtId="0" fontId="3" fillId="0" borderId="0" xfId="0" applyFont="1"/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0" xfId="0" applyNumberFormat="1" applyFont="1"/>
    <xf numFmtId="4" fontId="3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4" fontId="11" fillId="0" borderId="0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3" fontId="3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6" fillId="0" borderId="1" xfId="1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11" fillId="3" borderId="1" xfId="0" applyFont="1" applyFill="1" applyBorder="1"/>
    <xf numFmtId="0" fontId="3" fillId="3" borderId="1" xfId="0" applyFont="1" applyFill="1" applyBorder="1" applyAlignment="1">
      <alignment horizontal="center"/>
    </xf>
    <xf numFmtId="4" fontId="11" fillId="3" borderId="1" xfId="1" applyNumberFormat="1" applyFont="1" applyFill="1" applyBorder="1" applyAlignment="1">
      <alignment horizontal="center" vertical="center"/>
    </xf>
    <xf numFmtId="43" fontId="11" fillId="3" borderId="1" xfId="1" applyFont="1" applyFill="1" applyBorder="1"/>
    <xf numFmtId="0" fontId="8" fillId="0" borderId="1" xfId="0" applyFont="1" applyBorder="1" applyAlignment="1">
      <alignment horizontal="center"/>
    </xf>
    <xf numFmtId="4" fontId="3" fillId="0" borderId="1" xfId="1" applyNumberFormat="1" applyFont="1" applyBorder="1" applyAlignment="1">
      <alignment horizontal="center" vertical="center"/>
    </xf>
    <xf numFmtId="43" fontId="7" fillId="0" borderId="1" xfId="0" applyNumberFormat="1" applyFont="1" applyBorder="1"/>
    <xf numFmtId="43" fontId="7" fillId="0" borderId="1" xfId="1" applyFont="1" applyBorder="1"/>
    <xf numFmtId="4" fontId="11" fillId="3" borderId="1" xfId="0" applyNumberFormat="1" applyFont="1" applyFill="1" applyBorder="1" applyAlignment="1">
      <alignment horizontal="center" vertical="center"/>
    </xf>
    <xf numFmtId="43" fontId="11" fillId="3" borderId="1" xfId="0" applyNumberFormat="1" applyFont="1" applyFill="1" applyBorder="1"/>
    <xf numFmtId="43" fontId="3" fillId="0" borderId="1" xfId="1" applyFont="1" applyBorder="1"/>
    <xf numFmtId="4" fontId="3" fillId="0" borderId="0" xfId="1" applyNumberFormat="1" applyFont="1" applyFill="1" applyAlignment="1">
      <alignment horizontal="center" vertical="center"/>
    </xf>
    <xf numFmtId="4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wrapText="1"/>
    </xf>
    <xf numFmtId="0" fontId="3" fillId="0" borderId="0" xfId="0" applyFont="1" applyAlignment="1">
      <alignment horizontal="left" vertical="center"/>
    </xf>
    <xf numFmtId="4" fontId="6" fillId="0" borderId="0" xfId="0" applyNumberFormat="1" applyFont="1" applyFill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6" fillId="0" borderId="0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" fontId="6" fillId="0" borderId="4" xfId="1" applyNumberFormat="1" applyFont="1" applyFill="1" applyBorder="1" applyAlignment="1">
      <alignment horizontal="center" vertical="center" wrapText="1"/>
    </xf>
    <xf numFmtId="4" fontId="6" fillId="0" borderId="4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166" fontId="6" fillId="0" borderId="4" xfId="1" applyNumberFormat="1" applyFont="1" applyFill="1" applyBorder="1" applyAlignment="1">
      <alignment horizontal="center" vertical="center" wrapText="1"/>
    </xf>
    <xf numFmtId="43" fontId="6" fillId="0" borderId="4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top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43" fontId="3" fillId="0" borderId="1" xfId="0" applyNumberFormat="1" applyFont="1" applyFill="1" applyBorder="1" applyAlignment="1">
      <alignment vertical="center"/>
    </xf>
    <xf numFmtId="43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5">
    <cellStyle name="Обычный" xfId="0" builtinId="0"/>
    <cellStyle name="Обычный 11" xfId="3"/>
    <cellStyle name="Обычный 2" xfId="4"/>
    <cellStyle name="Обычный_ДОГОВОРА" xfId="2"/>
    <cellStyle name="Финансовый" xfId="1" builtinId="3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.bin"/><Relationship Id="rId3" Type="http://schemas.openxmlformats.org/officeDocument/2006/relationships/printerSettings" Target="../printerSettings/printerSettings23.bin"/><Relationship Id="rId7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62"/>
  <sheetViews>
    <sheetView topLeftCell="A94" zoomScaleNormal="80" workbookViewId="0">
      <selection activeCell="R351" sqref="R351"/>
    </sheetView>
  </sheetViews>
  <sheetFormatPr defaultRowHeight="15" outlineLevelRow="2" x14ac:dyDescent="0.2"/>
  <cols>
    <col min="1" max="1" width="33.5" style="14" customWidth="1"/>
    <col min="2" max="2" width="57.33203125" style="136" customWidth="1"/>
    <col min="3" max="3" width="13.5" style="117" customWidth="1"/>
    <col min="4" max="4" width="36.5" style="136" customWidth="1"/>
    <col min="5" max="5" width="17.1640625" style="14" customWidth="1"/>
    <col min="6" max="6" width="36.33203125" style="14" customWidth="1"/>
    <col min="7" max="7" width="52.1640625" style="136" customWidth="1"/>
    <col min="8" max="8" width="17" style="14" customWidth="1"/>
    <col min="9" max="10" width="25.5" style="137" customWidth="1"/>
    <col min="11" max="11" width="10.1640625" style="14" customWidth="1"/>
    <col min="12" max="12" width="25.5" style="14" customWidth="1"/>
    <col min="13" max="13" width="25.6640625" style="137" customWidth="1"/>
    <col min="14" max="14" width="24.1640625" style="137" customWidth="1"/>
    <col min="15" max="15" width="26.83203125" style="137" customWidth="1"/>
    <col min="16" max="16" width="16.6640625" style="139" customWidth="1"/>
    <col min="17" max="17" width="48.1640625" style="14" customWidth="1"/>
    <col min="18" max="18" width="25" style="63" customWidth="1"/>
    <col min="19" max="16384" width="9.33203125" style="14"/>
  </cols>
  <sheetData>
    <row r="1" spans="1:18" ht="16.5" customHeight="1" x14ac:dyDescent="0.2">
      <c r="A1" s="254" t="s">
        <v>3053</v>
      </c>
      <c r="B1" s="255"/>
      <c r="C1" s="254"/>
      <c r="D1" s="255"/>
      <c r="E1" s="254"/>
      <c r="F1" s="254"/>
      <c r="G1" s="255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8" s="18" customFormat="1" ht="35.25" customHeight="1" x14ac:dyDescent="0.2">
      <c r="A2" s="191" t="s">
        <v>0</v>
      </c>
      <c r="B2" s="191" t="s">
        <v>1</v>
      </c>
      <c r="C2" s="192" t="s">
        <v>2</v>
      </c>
      <c r="D2" s="15" t="s">
        <v>3</v>
      </c>
      <c r="E2" s="191" t="s">
        <v>4</v>
      </c>
      <c r="F2" s="15" t="s">
        <v>5</v>
      </c>
      <c r="G2" s="191" t="s">
        <v>6</v>
      </c>
      <c r="H2" s="15" t="s">
        <v>7</v>
      </c>
      <c r="I2" s="17" t="s">
        <v>8</v>
      </c>
      <c r="J2" s="17" t="s">
        <v>9</v>
      </c>
      <c r="K2" s="15" t="s">
        <v>10</v>
      </c>
      <c r="L2" s="191" t="s">
        <v>2469</v>
      </c>
      <c r="M2" s="193" t="s">
        <v>11</v>
      </c>
      <c r="N2" s="17" t="s">
        <v>2599</v>
      </c>
      <c r="O2" s="193" t="s">
        <v>2600</v>
      </c>
      <c r="P2" s="17" t="s">
        <v>1950</v>
      </c>
      <c r="Q2" s="17" t="s">
        <v>1944</v>
      </c>
      <c r="R2" s="34"/>
    </row>
    <row r="3" spans="1:18" ht="120.75" customHeight="1" outlineLevel="2" x14ac:dyDescent="0.2">
      <c r="A3" s="3" t="s">
        <v>20</v>
      </c>
      <c r="B3" s="2" t="s">
        <v>1744</v>
      </c>
      <c r="C3" s="12" t="s">
        <v>49</v>
      </c>
      <c r="D3" s="2" t="s">
        <v>1745</v>
      </c>
      <c r="E3" s="3" t="s">
        <v>26</v>
      </c>
      <c r="F3" s="3" t="s">
        <v>1746</v>
      </c>
      <c r="G3" s="2" t="s">
        <v>70</v>
      </c>
      <c r="H3" s="3" t="s">
        <v>23</v>
      </c>
      <c r="I3" s="5">
        <v>849200</v>
      </c>
      <c r="J3" s="5">
        <v>849200</v>
      </c>
      <c r="K3" s="3">
        <v>100</v>
      </c>
      <c r="L3" s="5">
        <v>849200</v>
      </c>
      <c r="M3" s="5">
        <v>849200</v>
      </c>
      <c r="N3" s="5"/>
      <c r="O3" s="5">
        <v>0</v>
      </c>
      <c r="P3" s="19"/>
      <c r="Q3" s="5" t="s">
        <v>2449</v>
      </c>
      <c r="R3" s="141"/>
    </row>
    <row r="4" spans="1:18" ht="120.75" customHeight="1" outlineLevel="2" x14ac:dyDescent="0.2">
      <c r="A4" s="3" t="s">
        <v>20</v>
      </c>
      <c r="B4" s="2" t="s">
        <v>622</v>
      </c>
      <c r="C4" s="12" t="s">
        <v>49</v>
      </c>
      <c r="D4" s="2" t="s">
        <v>624</v>
      </c>
      <c r="E4" s="3" t="s">
        <v>29</v>
      </c>
      <c r="F4" s="3" t="s">
        <v>583</v>
      </c>
      <c r="G4" s="2" t="s">
        <v>623</v>
      </c>
      <c r="H4" s="3" t="s">
        <v>23</v>
      </c>
      <c r="I4" s="5">
        <v>4066836</v>
      </c>
      <c r="J4" s="5">
        <v>3660152.4</v>
      </c>
      <c r="K4" s="3">
        <v>90</v>
      </c>
      <c r="L4" s="21">
        <v>1626734.4000000001</v>
      </c>
      <c r="M4" s="5">
        <v>1626734.4</v>
      </c>
      <c r="N4" s="5">
        <v>2033418</v>
      </c>
      <c r="O4" s="5">
        <v>0</v>
      </c>
      <c r="P4" s="22"/>
      <c r="Q4" s="2" t="s">
        <v>2870</v>
      </c>
    </row>
    <row r="5" spans="1:18" ht="120.75" customHeight="1" outlineLevel="2" x14ac:dyDescent="0.2">
      <c r="A5" s="3" t="s">
        <v>20</v>
      </c>
      <c r="B5" s="2" t="s">
        <v>710</v>
      </c>
      <c r="C5" s="12" t="s">
        <v>49</v>
      </c>
      <c r="D5" s="2" t="s">
        <v>716</v>
      </c>
      <c r="E5" s="3" t="s">
        <v>29</v>
      </c>
      <c r="F5" s="3" t="s">
        <v>182</v>
      </c>
      <c r="G5" s="2" t="s">
        <v>715</v>
      </c>
      <c r="H5" s="3" t="s">
        <v>23</v>
      </c>
      <c r="I5" s="5">
        <v>167974680</v>
      </c>
      <c r="J5" s="5">
        <v>134379744</v>
      </c>
      <c r="K5" s="3">
        <v>80</v>
      </c>
      <c r="L5" s="21">
        <v>67189872</v>
      </c>
      <c r="M5" s="5">
        <v>67189872</v>
      </c>
      <c r="N5" s="5">
        <v>67189872</v>
      </c>
      <c r="O5" s="5">
        <v>0</v>
      </c>
      <c r="P5" s="22"/>
      <c r="Q5" s="2" t="s">
        <v>2871</v>
      </c>
    </row>
    <row r="6" spans="1:18" ht="120.75" customHeight="1" outlineLevel="2" x14ac:dyDescent="0.2">
      <c r="A6" s="3" t="s">
        <v>20</v>
      </c>
      <c r="B6" s="2" t="s">
        <v>1165</v>
      </c>
      <c r="C6" s="12" t="s">
        <v>49</v>
      </c>
      <c r="D6" s="2" t="s">
        <v>1166</v>
      </c>
      <c r="E6" s="3" t="s">
        <v>29</v>
      </c>
      <c r="F6" s="3" t="s">
        <v>182</v>
      </c>
      <c r="G6" s="2" t="s">
        <v>266</v>
      </c>
      <c r="H6" s="3" t="s">
        <v>23</v>
      </c>
      <c r="I6" s="5">
        <v>4934484</v>
      </c>
      <c r="J6" s="5">
        <v>3947587.2</v>
      </c>
      <c r="K6" s="3">
        <v>80</v>
      </c>
      <c r="L6" s="21">
        <v>1973793.6</v>
      </c>
      <c r="M6" s="5"/>
      <c r="N6" s="5">
        <v>3947587.2</v>
      </c>
      <c r="O6" s="5">
        <v>1973793.6</v>
      </c>
      <c r="P6" s="23">
        <v>45541</v>
      </c>
      <c r="Q6" s="2" t="s">
        <v>2872</v>
      </c>
    </row>
    <row r="7" spans="1:18" ht="120.75" customHeight="1" outlineLevel="2" x14ac:dyDescent="0.2">
      <c r="A7" s="3" t="s">
        <v>20</v>
      </c>
      <c r="B7" s="2" t="s">
        <v>421</v>
      </c>
      <c r="C7" s="12" t="s">
        <v>49</v>
      </c>
      <c r="D7" s="24" t="s">
        <v>2451</v>
      </c>
      <c r="E7" s="3" t="s">
        <v>29</v>
      </c>
      <c r="F7" s="3" t="s">
        <v>433</v>
      </c>
      <c r="G7" s="2" t="s">
        <v>435</v>
      </c>
      <c r="H7" s="2" t="s">
        <v>2452</v>
      </c>
      <c r="I7" s="5">
        <v>4164829.2</v>
      </c>
      <c r="J7" s="5">
        <v>3331863.3600000003</v>
      </c>
      <c r="K7" s="3">
        <v>80</v>
      </c>
      <c r="L7" s="21">
        <v>1665931.6800000002</v>
      </c>
      <c r="M7" s="5">
        <v>1665931.6800000002</v>
      </c>
      <c r="N7" s="5">
        <v>1665931.6800000002</v>
      </c>
      <c r="O7" s="5">
        <v>0</v>
      </c>
      <c r="P7" s="19"/>
      <c r="Q7" s="2" t="s">
        <v>2450</v>
      </c>
    </row>
    <row r="8" spans="1:18" ht="120.75" customHeight="1" outlineLevel="2" x14ac:dyDescent="0.2">
      <c r="A8" s="3" t="s">
        <v>20</v>
      </c>
      <c r="B8" s="2" t="s">
        <v>2605</v>
      </c>
      <c r="C8" s="12">
        <v>424</v>
      </c>
      <c r="D8" s="24" t="s">
        <v>2606</v>
      </c>
      <c r="E8" s="3" t="s">
        <v>29</v>
      </c>
      <c r="F8" s="3"/>
      <c r="G8" s="2" t="s">
        <v>435</v>
      </c>
      <c r="H8" s="2" t="s">
        <v>2873</v>
      </c>
      <c r="I8" s="5">
        <v>5639895</v>
      </c>
      <c r="J8" s="5">
        <v>4511916</v>
      </c>
      <c r="K8" s="3"/>
      <c r="L8" s="21">
        <v>2255958</v>
      </c>
      <c r="M8" s="5"/>
      <c r="N8" s="5">
        <v>2255958</v>
      </c>
      <c r="O8" s="5">
        <v>2255958</v>
      </c>
      <c r="P8" s="25">
        <v>45547</v>
      </c>
      <c r="Q8" s="2" t="s">
        <v>2874</v>
      </c>
    </row>
    <row r="9" spans="1:18" ht="120.75" customHeight="1" outlineLevel="2" x14ac:dyDescent="0.2">
      <c r="A9" s="3" t="s">
        <v>20</v>
      </c>
      <c r="B9" s="2" t="s">
        <v>1315</v>
      </c>
      <c r="C9" s="12" t="s">
        <v>49</v>
      </c>
      <c r="D9" s="2" t="s">
        <v>1332</v>
      </c>
      <c r="E9" s="3" t="s">
        <v>1949</v>
      </c>
      <c r="F9" s="3" t="s">
        <v>433</v>
      </c>
      <c r="G9" s="2" t="s">
        <v>422</v>
      </c>
      <c r="H9" s="3" t="s">
        <v>23</v>
      </c>
      <c r="I9" s="5">
        <v>5703576.5999999996</v>
      </c>
      <c r="J9" s="5">
        <v>4562861.28</v>
      </c>
      <c r="K9" s="3">
        <v>12</v>
      </c>
      <c r="L9" s="21">
        <v>2281430.64</v>
      </c>
      <c r="M9" s="5"/>
      <c r="N9" s="5">
        <v>4562861.28</v>
      </c>
      <c r="O9" s="5">
        <v>2281430.64</v>
      </c>
      <c r="P9" s="26" t="s">
        <v>2017</v>
      </c>
      <c r="Q9" s="2" t="s">
        <v>2875</v>
      </c>
    </row>
    <row r="10" spans="1:18" ht="120.75" customHeight="1" outlineLevel="2" x14ac:dyDescent="0.2">
      <c r="A10" s="3" t="s">
        <v>20</v>
      </c>
      <c r="B10" s="2" t="s">
        <v>763</v>
      </c>
      <c r="C10" s="12" t="s">
        <v>49</v>
      </c>
      <c r="D10" s="2" t="s">
        <v>2541</v>
      </c>
      <c r="E10" s="3" t="s">
        <v>1949</v>
      </c>
      <c r="F10" s="3" t="s">
        <v>435</v>
      </c>
      <c r="G10" s="2" t="s">
        <v>422</v>
      </c>
      <c r="H10" s="3">
        <v>3411676.8</v>
      </c>
      <c r="I10" s="5">
        <v>866457.59999999998</v>
      </c>
      <c r="J10" s="5">
        <v>866457.59999999998</v>
      </c>
      <c r="K10" s="3"/>
      <c r="L10" s="21">
        <v>346583.04000000004</v>
      </c>
      <c r="M10" s="5"/>
      <c r="N10" s="5">
        <v>866457.59999999998</v>
      </c>
      <c r="O10" s="5">
        <v>346583.04000000004</v>
      </c>
      <c r="P10" s="19"/>
      <c r="Q10" s="8" t="s">
        <v>2876</v>
      </c>
    </row>
    <row r="11" spans="1:18" ht="23.25" customHeight="1" outlineLevel="1" x14ac:dyDescent="0.2">
      <c r="A11" s="145"/>
      <c r="B11" s="145"/>
      <c r="C11" s="146" t="s">
        <v>1945</v>
      </c>
      <c r="D11" s="2"/>
      <c r="E11" s="145"/>
      <c r="F11" s="3"/>
      <c r="G11" s="147"/>
      <c r="H11" s="3"/>
      <c r="I11" s="27">
        <f>SUM(I3:I10)</f>
        <v>194199958.39999998</v>
      </c>
      <c r="J11" s="27">
        <f t="shared" ref="J11:O11" si="0">SUM(J3:J10)</f>
        <v>156109781.84</v>
      </c>
      <c r="K11" s="27"/>
      <c r="L11" s="148">
        <f t="shared" si="0"/>
        <v>78189503.360000014</v>
      </c>
      <c r="M11" s="148">
        <f t="shared" si="0"/>
        <v>71331738.080000013</v>
      </c>
      <c r="N11" s="27">
        <f t="shared" si="0"/>
        <v>82522085.760000005</v>
      </c>
      <c r="O11" s="148">
        <f t="shared" si="0"/>
        <v>6857765.2800000003</v>
      </c>
      <c r="P11" s="28"/>
      <c r="Q11" s="29"/>
    </row>
    <row r="12" spans="1:18" ht="39" customHeight="1" outlineLevel="2" x14ac:dyDescent="0.2">
      <c r="A12" s="3" t="s">
        <v>20</v>
      </c>
      <c r="B12" s="8" t="s">
        <v>1639</v>
      </c>
      <c r="C12" s="12" t="s">
        <v>39</v>
      </c>
      <c r="D12" s="2" t="s">
        <v>1640</v>
      </c>
      <c r="E12" s="3" t="s">
        <v>26</v>
      </c>
      <c r="F12" s="3" t="s">
        <v>27</v>
      </c>
      <c r="G12" s="2" t="s">
        <v>1641</v>
      </c>
      <c r="H12" s="3" t="s">
        <v>23</v>
      </c>
      <c r="I12" s="5">
        <v>23000</v>
      </c>
      <c r="J12" s="5">
        <v>23000</v>
      </c>
      <c r="K12" s="3">
        <v>100</v>
      </c>
      <c r="L12" s="5">
        <v>23000</v>
      </c>
      <c r="M12" s="5">
        <v>23000</v>
      </c>
      <c r="N12" s="5"/>
      <c r="O12" s="30">
        <f t="shared" ref="O12:O55" si="1">L12-M12</f>
        <v>0</v>
      </c>
      <c r="P12" s="23"/>
      <c r="Q12" s="2"/>
    </row>
    <row r="13" spans="1:18" ht="39" customHeight="1" outlineLevel="2" x14ac:dyDescent="0.2">
      <c r="A13" s="3" t="s">
        <v>20</v>
      </c>
      <c r="B13" s="8" t="s">
        <v>231</v>
      </c>
      <c r="C13" s="12" t="s">
        <v>39</v>
      </c>
      <c r="D13" s="2" t="s">
        <v>238</v>
      </c>
      <c r="E13" s="3" t="s">
        <v>29</v>
      </c>
      <c r="F13" s="3" t="s">
        <v>27</v>
      </c>
      <c r="G13" s="2" t="s">
        <v>232</v>
      </c>
      <c r="H13" s="3" t="s">
        <v>23</v>
      </c>
      <c r="I13" s="5">
        <v>28281.599999999999</v>
      </c>
      <c r="J13" s="5">
        <v>28281.599999999999</v>
      </c>
      <c r="K13" s="3">
        <v>100</v>
      </c>
      <c r="L13" s="5">
        <v>28281.599999999999</v>
      </c>
      <c r="M13" s="5">
        <v>28281.599999999999</v>
      </c>
      <c r="N13" s="5"/>
      <c r="O13" s="30">
        <f t="shared" si="1"/>
        <v>0</v>
      </c>
      <c r="P13" s="23"/>
      <c r="Q13" s="2" t="s">
        <v>2608</v>
      </c>
    </row>
    <row r="14" spans="1:18" ht="39" customHeight="1" outlineLevel="2" x14ac:dyDescent="0.2">
      <c r="A14" s="3" t="s">
        <v>20</v>
      </c>
      <c r="B14" s="8" t="s">
        <v>520</v>
      </c>
      <c r="C14" s="12" t="s">
        <v>39</v>
      </c>
      <c r="D14" s="2" t="s">
        <v>522</v>
      </c>
      <c r="E14" s="3" t="s">
        <v>29</v>
      </c>
      <c r="F14" s="3" t="s">
        <v>27</v>
      </c>
      <c r="G14" s="2" t="s">
        <v>521</v>
      </c>
      <c r="H14" s="3" t="s">
        <v>23</v>
      </c>
      <c r="I14" s="5">
        <v>167240</v>
      </c>
      <c r="J14" s="5">
        <v>167240</v>
      </c>
      <c r="K14" s="3">
        <v>100</v>
      </c>
      <c r="L14" s="21">
        <f t="shared" ref="L14:L55" si="2">I14*40%</f>
        <v>66896</v>
      </c>
      <c r="M14" s="5"/>
      <c r="N14" s="5">
        <v>167240</v>
      </c>
      <c r="O14" s="30">
        <f t="shared" si="1"/>
        <v>66896</v>
      </c>
      <c r="P14" s="23">
        <v>45544</v>
      </c>
      <c r="Q14" s="2" t="s">
        <v>2803</v>
      </c>
    </row>
    <row r="15" spans="1:18" ht="30" outlineLevel="2" x14ac:dyDescent="0.2">
      <c r="A15" s="3" t="s">
        <v>20</v>
      </c>
      <c r="B15" s="8" t="s">
        <v>673</v>
      </c>
      <c r="C15" s="12" t="s">
        <v>39</v>
      </c>
      <c r="D15" s="2" t="s">
        <v>678</v>
      </c>
      <c r="E15" s="3" t="s">
        <v>29</v>
      </c>
      <c r="F15" s="3" t="s">
        <v>679</v>
      </c>
      <c r="G15" s="2" t="s">
        <v>674</v>
      </c>
      <c r="H15" s="3" t="s">
        <v>23</v>
      </c>
      <c r="I15" s="5">
        <v>501030</v>
      </c>
      <c r="J15" s="5">
        <v>501030</v>
      </c>
      <c r="K15" s="3">
        <v>100</v>
      </c>
      <c r="L15" s="5">
        <v>501030</v>
      </c>
      <c r="M15" s="5">
        <v>501030</v>
      </c>
      <c r="N15" s="5"/>
      <c r="O15" s="30">
        <f t="shared" si="1"/>
        <v>0</v>
      </c>
      <c r="P15" s="23"/>
      <c r="Q15" s="2" t="s">
        <v>2479</v>
      </c>
    </row>
    <row r="16" spans="1:18" ht="30" outlineLevel="2" x14ac:dyDescent="0.2">
      <c r="A16" s="3" t="s">
        <v>20</v>
      </c>
      <c r="B16" s="8" t="s">
        <v>112</v>
      </c>
      <c r="C16" s="12" t="s">
        <v>39</v>
      </c>
      <c r="D16" s="2" t="s">
        <v>113</v>
      </c>
      <c r="E16" s="3" t="s">
        <v>1949</v>
      </c>
      <c r="F16" s="3" t="s">
        <v>114</v>
      </c>
      <c r="G16" s="2" t="s">
        <v>115</v>
      </c>
      <c r="H16" s="3" t="s">
        <v>23</v>
      </c>
      <c r="I16" s="5">
        <v>33840</v>
      </c>
      <c r="J16" s="5">
        <v>33840</v>
      </c>
      <c r="K16" s="3">
        <v>100</v>
      </c>
      <c r="L16" s="21">
        <f t="shared" si="2"/>
        <v>13536</v>
      </c>
      <c r="M16" s="5"/>
      <c r="N16" s="5">
        <v>33840</v>
      </c>
      <c r="O16" s="30">
        <f t="shared" si="1"/>
        <v>13536</v>
      </c>
      <c r="P16" s="23">
        <v>45566</v>
      </c>
      <c r="Q16" s="2" t="s">
        <v>2804</v>
      </c>
    </row>
    <row r="17" spans="1:17" ht="45" x14ac:dyDescent="0.2">
      <c r="A17" s="3" t="s">
        <v>20</v>
      </c>
      <c r="B17" s="8" t="s">
        <v>146</v>
      </c>
      <c r="C17" s="12" t="s">
        <v>39</v>
      </c>
      <c r="D17" s="2" t="s">
        <v>150</v>
      </c>
      <c r="E17" s="3" t="s">
        <v>1949</v>
      </c>
      <c r="F17" s="3" t="s">
        <v>27</v>
      </c>
      <c r="G17" s="2" t="s">
        <v>147</v>
      </c>
      <c r="H17" s="3" t="s">
        <v>23</v>
      </c>
      <c r="I17" s="5">
        <v>9600</v>
      </c>
      <c r="J17" s="5">
        <v>9600</v>
      </c>
      <c r="K17" s="3">
        <v>100</v>
      </c>
      <c r="L17" s="21">
        <f t="shared" si="2"/>
        <v>3840</v>
      </c>
      <c r="M17" s="5"/>
      <c r="N17" s="5">
        <v>9600</v>
      </c>
      <c r="O17" s="30">
        <f t="shared" si="1"/>
        <v>3840</v>
      </c>
      <c r="P17" s="23" t="s">
        <v>2609</v>
      </c>
      <c r="Q17" s="2" t="s">
        <v>2805</v>
      </c>
    </row>
    <row r="18" spans="1:17" ht="45" x14ac:dyDescent="0.2">
      <c r="A18" s="3" t="s">
        <v>20</v>
      </c>
      <c r="B18" s="8" t="s">
        <v>239</v>
      </c>
      <c r="C18" s="12" t="s">
        <v>39</v>
      </c>
      <c r="D18" s="2" t="s">
        <v>244</v>
      </c>
      <c r="E18" s="3" t="s">
        <v>1949</v>
      </c>
      <c r="F18" s="3" t="s">
        <v>114</v>
      </c>
      <c r="G18" s="2" t="s">
        <v>241</v>
      </c>
      <c r="H18" s="3" t="s">
        <v>23</v>
      </c>
      <c r="I18" s="5">
        <v>91980</v>
      </c>
      <c r="J18" s="5">
        <v>91980</v>
      </c>
      <c r="K18" s="3">
        <v>100</v>
      </c>
      <c r="L18" s="21">
        <f t="shared" si="2"/>
        <v>36792</v>
      </c>
      <c r="M18" s="5"/>
      <c r="N18" s="5">
        <v>91980</v>
      </c>
      <c r="O18" s="30">
        <f t="shared" si="1"/>
        <v>36792</v>
      </c>
      <c r="P18" s="23" t="s">
        <v>2532</v>
      </c>
      <c r="Q18" s="2" t="s">
        <v>2610</v>
      </c>
    </row>
    <row r="19" spans="1:17" ht="45" x14ac:dyDescent="0.2">
      <c r="A19" s="3" t="s">
        <v>20</v>
      </c>
      <c r="B19" s="8" t="s">
        <v>239</v>
      </c>
      <c r="C19" s="12" t="s">
        <v>39</v>
      </c>
      <c r="D19" s="2" t="s">
        <v>245</v>
      </c>
      <c r="E19" s="3" t="s">
        <v>1949</v>
      </c>
      <c r="F19" s="3" t="s">
        <v>114</v>
      </c>
      <c r="G19" s="2" t="s">
        <v>240</v>
      </c>
      <c r="H19" s="3" t="s">
        <v>23</v>
      </c>
      <c r="I19" s="5">
        <v>115850</v>
      </c>
      <c r="J19" s="5">
        <v>115850</v>
      </c>
      <c r="K19" s="3">
        <v>100</v>
      </c>
      <c r="L19" s="21">
        <f>I19*40%</f>
        <v>46340</v>
      </c>
      <c r="M19" s="5"/>
      <c r="N19" s="5">
        <v>115850</v>
      </c>
      <c r="O19" s="30">
        <f t="shared" si="1"/>
        <v>46340</v>
      </c>
      <c r="P19" s="23" t="s">
        <v>2532</v>
      </c>
      <c r="Q19" s="2" t="s">
        <v>2806</v>
      </c>
    </row>
    <row r="20" spans="1:17" ht="30" x14ac:dyDescent="0.2">
      <c r="A20" s="3" t="s">
        <v>20</v>
      </c>
      <c r="B20" s="8" t="s">
        <v>250</v>
      </c>
      <c r="C20" s="12" t="s">
        <v>39</v>
      </c>
      <c r="D20" s="2" t="s">
        <v>259</v>
      </c>
      <c r="E20" s="3" t="s">
        <v>1949</v>
      </c>
      <c r="F20" s="3" t="s">
        <v>27</v>
      </c>
      <c r="G20" s="2" t="s">
        <v>251</v>
      </c>
      <c r="H20" s="3" t="s">
        <v>23</v>
      </c>
      <c r="I20" s="5">
        <v>2581652.2680000002</v>
      </c>
      <c r="J20" s="5">
        <v>2581652.2680000002</v>
      </c>
      <c r="K20" s="3">
        <v>100</v>
      </c>
      <c r="L20" s="21">
        <v>2581652.2680000002</v>
      </c>
      <c r="M20" s="5"/>
      <c r="N20" s="5">
        <v>2581652.2680000002</v>
      </c>
      <c r="O20" s="30">
        <f t="shared" si="1"/>
        <v>2581652.2680000002</v>
      </c>
      <c r="P20" s="23" t="s">
        <v>2611</v>
      </c>
      <c r="Q20" s="2" t="s">
        <v>2807</v>
      </c>
    </row>
    <row r="21" spans="1:17" ht="30" x14ac:dyDescent="0.2">
      <c r="A21" s="3" t="s">
        <v>20</v>
      </c>
      <c r="B21" s="8" t="s">
        <v>442</v>
      </c>
      <c r="C21" s="12" t="s">
        <v>39</v>
      </c>
      <c r="D21" s="2" t="s">
        <v>444</v>
      </c>
      <c r="E21" s="3" t="s">
        <v>1949</v>
      </c>
      <c r="F21" s="3" t="s">
        <v>27</v>
      </c>
      <c r="G21" s="2" t="s">
        <v>445</v>
      </c>
      <c r="H21" s="3" t="s">
        <v>23</v>
      </c>
      <c r="I21" s="5">
        <v>3370098</v>
      </c>
      <c r="J21" s="5">
        <v>3370098</v>
      </c>
      <c r="K21" s="3">
        <v>3370098</v>
      </c>
      <c r="L21" s="21">
        <v>3370098</v>
      </c>
      <c r="M21" s="5"/>
      <c r="N21" s="5">
        <v>3370098</v>
      </c>
      <c r="O21" s="30">
        <f t="shared" si="1"/>
        <v>3370098</v>
      </c>
      <c r="P21" s="23" t="s">
        <v>2611</v>
      </c>
      <c r="Q21" s="2" t="s">
        <v>2808</v>
      </c>
    </row>
    <row r="22" spans="1:17" ht="120" x14ac:dyDescent="0.2">
      <c r="A22" s="3" t="s">
        <v>20</v>
      </c>
      <c r="B22" s="8" t="s">
        <v>455</v>
      </c>
      <c r="C22" s="12" t="s">
        <v>39</v>
      </c>
      <c r="D22" s="2" t="s">
        <v>456</v>
      </c>
      <c r="E22" s="3" t="s">
        <v>1949</v>
      </c>
      <c r="F22" s="3" t="s">
        <v>27</v>
      </c>
      <c r="G22" s="2" t="s">
        <v>453</v>
      </c>
      <c r="H22" s="3" t="s">
        <v>23</v>
      </c>
      <c r="I22" s="5">
        <v>40000</v>
      </c>
      <c r="J22" s="5">
        <v>40000</v>
      </c>
      <c r="K22" s="3">
        <v>100</v>
      </c>
      <c r="L22" s="21">
        <f t="shared" si="2"/>
        <v>16000</v>
      </c>
      <c r="M22" s="5"/>
      <c r="N22" s="5">
        <v>40000</v>
      </c>
      <c r="O22" s="30">
        <f t="shared" si="1"/>
        <v>16000</v>
      </c>
      <c r="P22" s="23">
        <v>45560</v>
      </c>
      <c r="Q22" s="2" t="s">
        <v>2809</v>
      </c>
    </row>
    <row r="23" spans="1:17" ht="30" x14ac:dyDescent="0.2">
      <c r="A23" s="3" t="s">
        <v>20</v>
      </c>
      <c r="B23" s="8" t="s">
        <v>466</v>
      </c>
      <c r="C23" s="12" t="s">
        <v>39</v>
      </c>
      <c r="D23" s="2" t="s">
        <v>474</v>
      </c>
      <c r="E23" s="3" t="s">
        <v>1949</v>
      </c>
      <c r="F23" s="3" t="s">
        <v>27</v>
      </c>
      <c r="G23" s="2" t="s">
        <v>475</v>
      </c>
      <c r="H23" s="3" t="s">
        <v>23</v>
      </c>
      <c r="I23" s="5">
        <v>110000</v>
      </c>
      <c r="J23" s="5">
        <v>110000</v>
      </c>
      <c r="K23" s="3">
        <v>100</v>
      </c>
      <c r="L23" s="21">
        <f t="shared" si="2"/>
        <v>44000</v>
      </c>
      <c r="M23" s="5"/>
      <c r="N23" s="5">
        <v>110000</v>
      </c>
      <c r="O23" s="30">
        <f t="shared" si="1"/>
        <v>44000</v>
      </c>
      <c r="P23" s="23"/>
      <c r="Q23" s="2" t="s">
        <v>2805</v>
      </c>
    </row>
    <row r="24" spans="1:17" ht="30" x14ac:dyDescent="0.2">
      <c r="A24" s="3" t="s">
        <v>20</v>
      </c>
      <c r="B24" s="8" t="s">
        <v>484</v>
      </c>
      <c r="C24" s="12" t="s">
        <v>39</v>
      </c>
      <c r="D24" s="2" t="s">
        <v>488</v>
      </c>
      <c r="E24" s="3" t="s">
        <v>1949</v>
      </c>
      <c r="F24" s="3" t="s">
        <v>27</v>
      </c>
      <c r="G24" s="2" t="s">
        <v>483</v>
      </c>
      <c r="H24" s="3" t="s">
        <v>23</v>
      </c>
      <c r="I24" s="5">
        <v>132624</v>
      </c>
      <c r="J24" s="5">
        <v>132624</v>
      </c>
      <c r="K24" s="3">
        <v>100</v>
      </c>
      <c r="L24" s="21">
        <f t="shared" si="2"/>
        <v>53049.600000000006</v>
      </c>
      <c r="M24" s="5"/>
      <c r="N24" s="5">
        <v>132624</v>
      </c>
      <c r="O24" s="30">
        <f t="shared" si="1"/>
        <v>53049.600000000006</v>
      </c>
      <c r="P24" s="23"/>
      <c r="Q24" s="2" t="s">
        <v>2612</v>
      </c>
    </row>
    <row r="25" spans="1:17" ht="30" x14ac:dyDescent="0.2">
      <c r="A25" s="3" t="s">
        <v>20</v>
      </c>
      <c r="B25" s="8" t="s">
        <v>484</v>
      </c>
      <c r="C25" s="12" t="s">
        <v>39</v>
      </c>
      <c r="D25" s="2" t="s">
        <v>488</v>
      </c>
      <c r="E25" s="3" t="s">
        <v>1949</v>
      </c>
      <c r="F25" s="3" t="s">
        <v>27</v>
      </c>
      <c r="G25" s="2" t="s">
        <v>483</v>
      </c>
      <c r="H25" s="3" t="s">
        <v>23</v>
      </c>
      <c r="I25" s="5">
        <v>102168</v>
      </c>
      <c r="J25" s="5">
        <v>102168</v>
      </c>
      <c r="K25" s="3">
        <v>100</v>
      </c>
      <c r="L25" s="21">
        <f t="shared" si="2"/>
        <v>40867.200000000004</v>
      </c>
      <c r="M25" s="5"/>
      <c r="N25" s="5">
        <v>102168</v>
      </c>
      <c r="O25" s="30">
        <f t="shared" si="1"/>
        <v>40867.200000000004</v>
      </c>
      <c r="P25" s="23"/>
      <c r="Q25" s="2" t="s">
        <v>2612</v>
      </c>
    </row>
    <row r="26" spans="1:17" ht="30" x14ac:dyDescent="0.2">
      <c r="A26" s="3" t="s">
        <v>20</v>
      </c>
      <c r="B26" s="8" t="s">
        <v>504</v>
      </c>
      <c r="C26" s="12" t="s">
        <v>39</v>
      </c>
      <c r="D26" s="2" t="s">
        <v>507</v>
      </c>
      <c r="E26" s="3" t="s">
        <v>1949</v>
      </c>
      <c r="F26" s="3" t="s">
        <v>27</v>
      </c>
      <c r="G26" s="2" t="s">
        <v>508</v>
      </c>
      <c r="H26" s="3" t="s">
        <v>23</v>
      </c>
      <c r="I26" s="5">
        <v>1570000</v>
      </c>
      <c r="J26" s="5">
        <v>1570000</v>
      </c>
      <c r="K26" s="3">
        <v>100</v>
      </c>
      <c r="L26" s="21">
        <f t="shared" si="2"/>
        <v>628000</v>
      </c>
      <c r="M26" s="5"/>
      <c r="N26" s="5">
        <v>1570000</v>
      </c>
      <c r="O26" s="30">
        <f t="shared" si="1"/>
        <v>628000</v>
      </c>
      <c r="P26" s="23"/>
      <c r="Q26" s="2" t="s">
        <v>2402</v>
      </c>
    </row>
    <row r="27" spans="1:17" ht="30" x14ac:dyDescent="0.2">
      <c r="A27" s="3" t="s">
        <v>20</v>
      </c>
      <c r="B27" s="8" t="s">
        <v>536</v>
      </c>
      <c r="C27" s="12" t="s">
        <v>39</v>
      </c>
      <c r="D27" s="2" t="s">
        <v>113</v>
      </c>
      <c r="E27" s="3" t="s">
        <v>1949</v>
      </c>
      <c r="F27" s="3" t="s">
        <v>27</v>
      </c>
      <c r="G27" s="2" t="s">
        <v>115</v>
      </c>
      <c r="H27" s="3" t="s">
        <v>23</v>
      </c>
      <c r="I27" s="5">
        <v>23160</v>
      </c>
      <c r="J27" s="5">
        <v>23160</v>
      </c>
      <c r="K27" s="3">
        <v>100</v>
      </c>
      <c r="L27" s="21">
        <f t="shared" si="2"/>
        <v>9264</v>
      </c>
      <c r="M27" s="5"/>
      <c r="N27" s="5">
        <v>23160</v>
      </c>
      <c r="O27" s="30">
        <f t="shared" si="1"/>
        <v>9264</v>
      </c>
      <c r="P27" s="23" t="s">
        <v>2532</v>
      </c>
      <c r="Q27" s="2" t="s">
        <v>2810</v>
      </c>
    </row>
    <row r="28" spans="1:17" ht="45" x14ac:dyDescent="0.2">
      <c r="A28" s="3" t="s">
        <v>20</v>
      </c>
      <c r="B28" s="8" t="s">
        <v>536</v>
      </c>
      <c r="C28" s="12" t="s">
        <v>39</v>
      </c>
      <c r="D28" s="2" t="s">
        <v>245</v>
      </c>
      <c r="E28" s="3" t="s">
        <v>1949</v>
      </c>
      <c r="F28" s="3" t="s">
        <v>27</v>
      </c>
      <c r="G28" s="2" t="s">
        <v>240</v>
      </c>
      <c r="H28" s="3" t="s">
        <v>23</v>
      </c>
      <c r="I28" s="5">
        <v>7200</v>
      </c>
      <c r="J28" s="5">
        <v>7200</v>
      </c>
      <c r="K28" s="3">
        <v>100</v>
      </c>
      <c r="L28" s="21">
        <f t="shared" si="2"/>
        <v>2880</v>
      </c>
      <c r="M28" s="5"/>
      <c r="N28" s="5">
        <v>7200</v>
      </c>
      <c r="O28" s="30">
        <f t="shared" si="1"/>
        <v>2880</v>
      </c>
      <c r="P28" s="23" t="s">
        <v>2532</v>
      </c>
      <c r="Q28" s="2" t="s">
        <v>2811</v>
      </c>
    </row>
    <row r="29" spans="1:17" ht="30" x14ac:dyDescent="0.2">
      <c r="A29" s="3" t="s">
        <v>20</v>
      </c>
      <c r="B29" s="8" t="s">
        <v>552</v>
      </c>
      <c r="C29" s="12" t="s">
        <v>39</v>
      </c>
      <c r="D29" s="2" t="s">
        <v>557</v>
      </c>
      <c r="E29" s="3" t="s">
        <v>1949</v>
      </c>
      <c r="F29" s="3" t="s">
        <v>27</v>
      </c>
      <c r="G29" s="2" t="s">
        <v>553</v>
      </c>
      <c r="H29" s="3" t="s">
        <v>23</v>
      </c>
      <c r="I29" s="5">
        <v>45000</v>
      </c>
      <c r="J29" s="5">
        <v>45000</v>
      </c>
      <c r="K29" s="3">
        <v>100</v>
      </c>
      <c r="L29" s="21">
        <f t="shared" si="2"/>
        <v>18000</v>
      </c>
      <c r="M29" s="5"/>
      <c r="N29" s="5">
        <v>45000</v>
      </c>
      <c r="O29" s="30">
        <f t="shared" si="1"/>
        <v>18000</v>
      </c>
      <c r="P29" s="23">
        <v>45566</v>
      </c>
      <c r="Q29" s="2" t="s">
        <v>2812</v>
      </c>
    </row>
    <row r="30" spans="1:17" ht="30" x14ac:dyDescent="0.2">
      <c r="A30" s="3" t="s">
        <v>20</v>
      </c>
      <c r="B30" s="8" t="s">
        <v>558</v>
      </c>
      <c r="C30" s="12" t="s">
        <v>39</v>
      </c>
      <c r="D30" s="2" t="s">
        <v>568</v>
      </c>
      <c r="E30" s="3" t="s">
        <v>1949</v>
      </c>
      <c r="F30" s="3" t="s">
        <v>27</v>
      </c>
      <c r="G30" s="2" t="s">
        <v>561</v>
      </c>
      <c r="H30" s="3" t="s">
        <v>23</v>
      </c>
      <c r="I30" s="5">
        <v>4300000</v>
      </c>
      <c r="J30" s="5">
        <v>4300000</v>
      </c>
      <c r="K30" s="3">
        <v>100</v>
      </c>
      <c r="L30" s="21">
        <f t="shared" si="2"/>
        <v>1720000</v>
      </c>
      <c r="M30" s="5"/>
      <c r="N30" s="5">
        <v>4300000</v>
      </c>
      <c r="O30" s="30">
        <f t="shared" si="1"/>
        <v>1720000</v>
      </c>
      <c r="P30" s="23" t="s">
        <v>2031</v>
      </c>
      <c r="Q30" s="2" t="s">
        <v>2403</v>
      </c>
    </row>
    <row r="31" spans="1:17" ht="30" x14ac:dyDescent="0.2">
      <c r="A31" s="3" t="s">
        <v>20</v>
      </c>
      <c r="B31" s="8" t="s">
        <v>628</v>
      </c>
      <c r="C31" s="12" t="s">
        <v>39</v>
      </c>
      <c r="D31" s="2" t="s">
        <v>640</v>
      </c>
      <c r="E31" s="3" t="s">
        <v>1949</v>
      </c>
      <c r="F31" s="3" t="s">
        <v>27</v>
      </c>
      <c r="G31" s="2" t="s">
        <v>641</v>
      </c>
      <c r="H31" s="3" t="s">
        <v>23</v>
      </c>
      <c r="I31" s="5">
        <v>170000</v>
      </c>
      <c r="J31" s="5">
        <v>170000</v>
      </c>
      <c r="K31" s="3">
        <v>100</v>
      </c>
      <c r="L31" s="21">
        <f t="shared" si="2"/>
        <v>68000</v>
      </c>
      <c r="M31" s="5"/>
      <c r="N31" s="5">
        <v>170000</v>
      </c>
      <c r="O31" s="30">
        <f t="shared" si="1"/>
        <v>68000</v>
      </c>
      <c r="P31" s="23">
        <v>45627</v>
      </c>
      <c r="Q31" s="2" t="s">
        <v>2812</v>
      </c>
    </row>
    <row r="32" spans="1:17" ht="30" x14ac:dyDescent="0.2">
      <c r="A32" s="3" t="s">
        <v>20</v>
      </c>
      <c r="B32" s="8" t="s">
        <v>628</v>
      </c>
      <c r="C32" s="12" t="s">
        <v>39</v>
      </c>
      <c r="D32" s="2" t="s">
        <v>642</v>
      </c>
      <c r="E32" s="3" t="s">
        <v>1949</v>
      </c>
      <c r="F32" s="3" t="s">
        <v>27</v>
      </c>
      <c r="G32" s="2" t="s">
        <v>457</v>
      </c>
      <c r="H32" s="3" t="s">
        <v>23</v>
      </c>
      <c r="I32" s="5">
        <v>65000</v>
      </c>
      <c r="J32" s="5">
        <v>65000</v>
      </c>
      <c r="K32" s="3">
        <v>100</v>
      </c>
      <c r="L32" s="21">
        <f t="shared" si="2"/>
        <v>26000</v>
      </c>
      <c r="M32" s="5"/>
      <c r="N32" s="5">
        <v>65000</v>
      </c>
      <c r="O32" s="30">
        <f t="shared" si="1"/>
        <v>26000</v>
      </c>
      <c r="P32" s="23">
        <v>45627</v>
      </c>
      <c r="Q32" s="2" t="s">
        <v>2812</v>
      </c>
    </row>
    <row r="33" spans="1:17" ht="75" x14ac:dyDescent="0.2">
      <c r="A33" s="3" t="s">
        <v>20</v>
      </c>
      <c r="B33" s="8" t="s">
        <v>643</v>
      </c>
      <c r="C33" s="12" t="s">
        <v>39</v>
      </c>
      <c r="D33" s="2" t="s">
        <v>647</v>
      </c>
      <c r="E33" s="3" t="s">
        <v>1949</v>
      </c>
      <c r="F33" s="3" t="s">
        <v>27</v>
      </c>
      <c r="G33" s="2" t="s">
        <v>645</v>
      </c>
      <c r="H33" s="3" t="s">
        <v>23</v>
      </c>
      <c r="I33" s="5">
        <v>170000</v>
      </c>
      <c r="J33" s="5">
        <v>170000</v>
      </c>
      <c r="K33" s="3">
        <v>100</v>
      </c>
      <c r="L33" s="21">
        <f t="shared" si="2"/>
        <v>68000</v>
      </c>
      <c r="M33" s="5"/>
      <c r="N33" s="5">
        <v>170000</v>
      </c>
      <c r="O33" s="30">
        <f t="shared" si="1"/>
        <v>68000</v>
      </c>
      <c r="P33" s="23">
        <v>45627</v>
      </c>
      <c r="Q33" s="2" t="s">
        <v>2813</v>
      </c>
    </row>
    <row r="34" spans="1:17" ht="30" x14ac:dyDescent="0.2">
      <c r="A34" s="3" t="s">
        <v>20</v>
      </c>
      <c r="B34" s="8" t="s">
        <v>737</v>
      </c>
      <c r="C34" s="12" t="s">
        <v>39</v>
      </c>
      <c r="D34" s="2" t="s">
        <v>738</v>
      </c>
      <c r="E34" s="3" t="s">
        <v>1949</v>
      </c>
      <c r="F34" s="3" t="s">
        <v>27</v>
      </c>
      <c r="G34" s="2" t="s">
        <v>457</v>
      </c>
      <c r="H34" s="3" t="s">
        <v>23</v>
      </c>
      <c r="I34" s="5">
        <v>35000</v>
      </c>
      <c r="J34" s="5">
        <v>35000</v>
      </c>
      <c r="K34" s="3">
        <v>100</v>
      </c>
      <c r="L34" s="21">
        <f t="shared" si="2"/>
        <v>14000</v>
      </c>
      <c r="M34" s="5"/>
      <c r="N34" s="5">
        <v>35000</v>
      </c>
      <c r="O34" s="30">
        <f t="shared" si="1"/>
        <v>14000</v>
      </c>
      <c r="P34" s="23">
        <v>45627</v>
      </c>
      <c r="Q34" s="2" t="s">
        <v>2812</v>
      </c>
    </row>
    <row r="35" spans="1:17" ht="30" x14ac:dyDescent="0.2">
      <c r="A35" s="3" t="s">
        <v>20</v>
      </c>
      <c r="B35" s="8" t="s">
        <v>739</v>
      </c>
      <c r="C35" s="12" t="s">
        <v>39</v>
      </c>
      <c r="D35" s="2" t="s">
        <v>740</v>
      </c>
      <c r="E35" s="3" t="s">
        <v>1949</v>
      </c>
      <c r="F35" s="3" t="s">
        <v>27</v>
      </c>
      <c r="G35" s="2" t="s">
        <v>741</v>
      </c>
      <c r="H35" s="3" t="s">
        <v>23</v>
      </c>
      <c r="I35" s="5">
        <v>10000</v>
      </c>
      <c r="J35" s="5">
        <v>10000</v>
      </c>
      <c r="K35" s="3">
        <v>100</v>
      </c>
      <c r="L35" s="21">
        <f t="shared" si="2"/>
        <v>4000</v>
      </c>
      <c r="M35" s="5"/>
      <c r="N35" s="5">
        <v>10000</v>
      </c>
      <c r="O35" s="30">
        <f t="shared" si="1"/>
        <v>4000</v>
      </c>
      <c r="P35" s="23">
        <v>45627</v>
      </c>
      <c r="Q35" s="2" t="s">
        <v>2812</v>
      </c>
    </row>
    <row r="36" spans="1:17" ht="30" x14ac:dyDescent="0.2">
      <c r="A36" s="3" t="s">
        <v>20</v>
      </c>
      <c r="B36" s="8" t="s">
        <v>803</v>
      </c>
      <c r="C36" s="12" t="s">
        <v>39</v>
      </c>
      <c r="D36" s="2" t="s">
        <v>811</v>
      </c>
      <c r="E36" s="3" t="s">
        <v>1949</v>
      </c>
      <c r="F36" s="3" t="s">
        <v>27</v>
      </c>
      <c r="G36" s="2" t="s">
        <v>2404</v>
      </c>
      <c r="H36" s="3" t="s">
        <v>23</v>
      </c>
      <c r="I36" s="5">
        <v>1500000</v>
      </c>
      <c r="J36" s="5">
        <v>1500000</v>
      </c>
      <c r="K36" s="3">
        <v>100</v>
      </c>
      <c r="L36" s="21">
        <f t="shared" si="2"/>
        <v>600000</v>
      </c>
      <c r="M36" s="5"/>
      <c r="N36" s="5">
        <v>1500000</v>
      </c>
      <c r="O36" s="30">
        <f t="shared" si="1"/>
        <v>600000</v>
      </c>
      <c r="P36" s="23" t="s">
        <v>2031</v>
      </c>
      <c r="Q36" s="2" t="s">
        <v>2403</v>
      </c>
    </row>
    <row r="37" spans="1:17" ht="45" x14ac:dyDescent="0.2">
      <c r="A37" s="3" t="s">
        <v>20</v>
      </c>
      <c r="B37" s="8" t="s">
        <v>844</v>
      </c>
      <c r="C37" s="12" t="s">
        <v>39</v>
      </c>
      <c r="D37" s="2" t="s">
        <v>856</v>
      </c>
      <c r="E37" s="3" t="s">
        <v>1949</v>
      </c>
      <c r="F37" s="3" t="s">
        <v>114</v>
      </c>
      <c r="G37" s="2" t="s">
        <v>857</v>
      </c>
      <c r="H37" s="3" t="s">
        <v>23</v>
      </c>
      <c r="I37" s="5">
        <v>3839562.02</v>
      </c>
      <c r="J37" s="5">
        <v>3839562.02</v>
      </c>
      <c r="K37" s="3">
        <v>100</v>
      </c>
      <c r="L37" s="21">
        <f t="shared" si="2"/>
        <v>1535824.8080000002</v>
      </c>
      <c r="M37" s="5"/>
      <c r="N37" s="5">
        <v>3839562.02</v>
      </c>
      <c r="O37" s="30">
        <f t="shared" si="1"/>
        <v>1535824.8080000002</v>
      </c>
      <c r="P37" s="23" t="s">
        <v>2490</v>
      </c>
      <c r="Q37" s="2" t="s">
        <v>2613</v>
      </c>
    </row>
    <row r="38" spans="1:17" ht="75" x14ac:dyDescent="0.2">
      <c r="A38" s="3" t="s">
        <v>20</v>
      </c>
      <c r="B38" s="8" t="s">
        <v>895</v>
      </c>
      <c r="C38" s="12" t="s">
        <v>39</v>
      </c>
      <c r="D38" s="2" t="s">
        <v>900</v>
      </c>
      <c r="E38" s="3" t="s">
        <v>1949</v>
      </c>
      <c r="F38" s="3" t="s">
        <v>27</v>
      </c>
      <c r="G38" s="2" t="s">
        <v>896</v>
      </c>
      <c r="H38" s="3" t="s">
        <v>23</v>
      </c>
      <c r="I38" s="5">
        <v>1220000</v>
      </c>
      <c r="J38" s="5">
        <v>1220000</v>
      </c>
      <c r="K38" s="3">
        <v>100</v>
      </c>
      <c r="L38" s="21">
        <f t="shared" si="2"/>
        <v>488000</v>
      </c>
      <c r="M38" s="5"/>
      <c r="N38" s="5">
        <v>1220000</v>
      </c>
      <c r="O38" s="30">
        <f t="shared" si="1"/>
        <v>488000</v>
      </c>
      <c r="P38" s="23">
        <v>45595</v>
      </c>
      <c r="Q38" s="2" t="s">
        <v>2814</v>
      </c>
    </row>
    <row r="39" spans="1:17" ht="30" x14ac:dyDescent="0.2">
      <c r="A39" s="3" t="s">
        <v>20</v>
      </c>
      <c r="B39" s="8" t="s">
        <v>1003</v>
      </c>
      <c r="C39" s="12" t="s">
        <v>39</v>
      </c>
      <c r="D39" s="2" t="s">
        <v>1004</v>
      </c>
      <c r="E39" s="3" t="s">
        <v>1949</v>
      </c>
      <c r="F39" s="3" t="s">
        <v>27</v>
      </c>
      <c r="G39" s="2" t="s">
        <v>1005</v>
      </c>
      <c r="H39" s="3" t="s">
        <v>23</v>
      </c>
      <c r="I39" s="5">
        <v>11000</v>
      </c>
      <c r="J39" s="5">
        <v>11000</v>
      </c>
      <c r="K39" s="3">
        <v>100</v>
      </c>
      <c r="L39" s="21">
        <f t="shared" si="2"/>
        <v>4400</v>
      </c>
      <c r="M39" s="5"/>
      <c r="N39" s="5">
        <v>11000</v>
      </c>
      <c r="O39" s="30">
        <f t="shared" si="1"/>
        <v>4400</v>
      </c>
      <c r="P39" s="23"/>
      <c r="Q39" s="2" t="s">
        <v>2812</v>
      </c>
    </row>
    <row r="40" spans="1:17" ht="30" x14ac:dyDescent="0.2">
      <c r="A40" s="3" t="s">
        <v>20</v>
      </c>
      <c r="B40" s="8" t="s">
        <v>1118</v>
      </c>
      <c r="C40" s="12" t="s">
        <v>39</v>
      </c>
      <c r="D40" s="2" t="s">
        <v>1123</v>
      </c>
      <c r="E40" s="3" t="s">
        <v>1949</v>
      </c>
      <c r="F40" s="3" t="s">
        <v>27</v>
      </c>
      <c r="G40" s="2" t="s">
        <v>1119</v>
      </c>
      <c r="H40" s="3" t="s">
        <v>23</v>
      </c>
      <c r="I40" s="5">
        <v>77500</v>
      </c>
      <c r="J40" s="5">
        <v>77500</v>
      </c>
      <c r="K40" s="3">
        <v>100</v>
      </c>
      <c r="L40" s="21">
        <f t="shared" si="2"/>
        <v>31000</v>
      </c>
      <c r="M40" s="5"/>
      <c r="N40" s="5">
        <v>77500</v>
      </c>
      <c r="O40" s="30">
        <f t="shared" si="1"/>
        <v>31000</v>
      </c>
      <c r="P40" s="23" t="s">
        <v>2609</v>
      </c>
      <c r="Q40" s="2" t="s">
        <v>2805</v>
      </c>
    </row>
    <row r="41" spans="1:17" ht="30" x14ac:dyDescent="0.2">
      <c r="A41" s="3" t="s">
        <v>20</v>
      </c>
      <c r="B41" s="8" t="s">
        <v>1244</v>
      </c>
      <c r="C41" s="12" t="s">
        <v>39</v>
      </c>
      <c r="D41" s="2" t="s">
        <v>1246</v>
      </c>
      <c r="E41" s="3" t="s">
        <v>1949</v>
      </c>
      <c r="F41" s="3" t="s">
        <v>27</v>
      </c>
      <c r="G41" s="2" t="s">
        <v>478</v>
      </c>
      <c r="H41" s="3" t="s">
        <v>23</v>
      </c>
      <c r="I41" s="5">
        <v>93600</v>
      </c>
      <c r="J41" s="5">
        <v>93600</v>
      </c>
      <c r="K41" s="3">
        <v>100</v>
      </c>
      <c r="L41" s="21">
        <f t="shared" si="2"/>
        <v>37440</v>
      </c>
      <c r="M41" s="5"/>
      <c r="N41" s="5">
        <v>93600</v>
      </c>
      <c r="O41" s="30">
        <f t="shared" si="1"/>
        <v>37440</v>
      </c>
      <c r="P41" s="23"/>
      <c r="Q41" s="2" t="s">
        <v>2480</v>
      </c>
    </row>
    <row r="42" spans="1:17" ht="45" x14ac:dyDescent="0.2">
      <c r="A42" s="3" t="s">
        <v>20</v>
      </c>
      <c r="B42" s="8" t="s">
        <v>1277</v>
      </c>
      <c r="C42" s="12" t="s">
        <v>39</v>
      </c>
      <c r="D42" s="2" t="s">
        <v>1278</v>
      </c>
      <c r="E42" s="3" t="s">
        <v>1949</v>
      </c>
      <c r="F42" s="3" t="s">
        <v>27</v>
      </c>
      <c r="G42" s="2" t="s">
        <v>65</v>
      </c>
      <c r="H42" s="3" t="s">
        <v>23</v>
      </c>
      <c r="I42" s="5">
        <v>14000</v>
      </c>
      <c r="J42" s="5">
        <v>14000</v>
      </c>
      <c r="K42" s="3">
        <v>100</v>
      </c>
      <c r="L42" s="21">
        <f t="shared" si="2"/>
        <v>5600</v>
      </c>
      <c r="M42" s="5"/>
      <c r="N42" s="5">
        <v>14000</v>
      </c>
      <c r="O42" s="30">
        <f t="shared" si="1"/>
        <v>5600</v>
      </c>
      <c r="P42" s="23">
        <v>45627</v>
      </c>
      <c r="Q42" s="2" t="s">
        <v>2812</v>
      </c>
    </row>
    <row r="43" spans="1:17" ht="135" x14ac:dyDescent="0.2">
      <c r="A43" s="3" t="s">
        <v>20</v>
      </c>
      <c r="B43" s="8" t="s">
        <v>1277</v>
      </c>
      <c r="C43" s="12" t="s">
        <v>39</v>
      </c>
      <c r="D43" s="2" t="s">
        <v>1279</v>
      </c>
      <c r="E43" s="3" t="s">
        <v>1949</v>
      </c>
      <c r="F43" s="3" t="s">
        <v>27</v>
      </c>
      <c r="G43" s="2" t="s">
        <v>64</v>
      </c>
      <c r="H43" s="3" t="s">
        <v>23</v>
      </c>
      <c r="I43" s="5">
        <v>190000</v>
      </c>
      <c r="J43" s="5">
        <v>190000</v>
      </c>
      <c r="K43" s="3">
        <v>100</v>
      </c>
      <c r="L43" s="21">
        <f t="shared" si="2"/>
        <v>76000</v>
      </c>
      <c r="M43" s="5"/>
      <c r="N43" s="5">
        <v>190000</v>
      </c>
      <c r="O43" s="30">
        <f t="shared" si="1"/>
        <v>76000</v>
      </c>
      <c r="P43" s="23">
        <v>45565</v>
      </c>
      <c r="Q43" s="2" t="s">
        <v>2815</v>
      </c>
    </row>
    <row r="44" spans="1:17" ht="30" x14ac:dyDescent="0.2">
      <c r="A44" s="3" t="s">
        <v>20</v>
      </c>
      <c r="B44" s="8" t="s">
        <v>1285</v>
      </c>
      <c r="C44" s="12" t="s">
        <v>39</v>
      </c>
      <c r="D44" s="2" t="s">
        <v>1287</v>
      </c>
      <c r="E44" s="3" t="s">
        <v>1949</v>
      </c>
      <c r="F44" s="3" t="s">
        <v>27</v>
      </c>
      <c r="G44" s="2" t="s">
        <v>254</v>
      </c>
      <c r="H44" s="3" t="s">
        <v>23</v>
      </c>
      <c r="I44" s="5">
        <v>6861510.5</v>
      </c>
      <c r="J44" s="5">
        <v>6861510.5</v>
      </c>
      <c r="K44" s="3">
        <v>100</v>
      </c>
      <c r="L44" s="21">
        <f t="shared" si="2"/>
        <v>2744604.2</v>
      </c>
      <c r="M44" s="5"/>
      <c r="N44" s="5">
        <v>6861510.5</v>
      </c>
      <c r="O44" s="30">
        <f t="shared" si="1"/>
        <v>2744604.2</v>
      </c>
      <c r="P44" s="23" t="s">
        <v>2611</v>
      </c>
      <c r="Q44" s="2" t="s">
        <v>2816</v>
      </c>
    </row>
    <row r="45" spans="1:17" ht="30" x14ac:dyDescent="0.2">
      <c r="A45" s="3" t="s">
        <v>20</v>
      </c>
      <c r="B45" s="8" t="s">
        <v>1315</v>
      </c>
      <c r="C45" s="12" t="s">
        <v>39</v>
      </c>
      <c r="D45" s="2" t="s">
        <v>1481</v>
      </c>
      <c r="E45" s="3" t="s">
        <v>1949</v>
      </c>
      <c r="F45" s="3" t="s">
        <v>27</v>
      </c>
      <c r="G45" s="2" t="s">
        <v>454</v>
      </c>
      <c r="H45" s="3" t="s">
        <v>23</v>
      </c>
      <c r="I45" s="5">
        <v>65000</v>
      </c>
      <c r="J45" s="5">
        <v>65000</v>
      </c>
      <c r="K45" s="3">
        <v>100</v>
      </c>
      <c r="L45" s="21">
        <f t="shared" si="2"/>
        <v>26000</v>
      </c>
      <c r="M45" s="5"/>
      <c r="N45" s="5">
        <v>65000</v>
      </c>
      <c r="O45" s="30">
        <f t="shared" si="1"/>
        <v>26000</v>
      </c>
      <c r="P45" s="23">
        <v>45627</v>
      </c>
      <c r="Q45" s="2" t="s">
        <v>2812</v>
      </c>
    </row>
    <row r="46" spans="1:17" ht="30" x14ac:dyDescent="0.2">
      <c r="A46" s="3" t="s">
        <v>20</v>
      </c>
      <c r="B46" s="8" t="s">
        <v>1315</v>
      </c>
      <c r="C46" s="12" t="s">
        <v>39</v>
      </c>
      <c r="D46" s="2" t="s">
        <v>1482</v>
      </c>
      <c r="E46" s="3" t="s">
        <v>1949</v>
      </c>
      <c r="F46" s="3" t="s">
        <v>27</v>
      </c>
      <c r="G46" s="2" t="s">
        <v>438</v>
      </c>
      <c r="H46" s="3" t="s">
        <v>23</v>
      </c>
      <c r="I46" s="5">
        <v>10000</v>
      </c>
      <c r="J46" s="5">
        <v>10000</v>
      </c>
      <c r="K46" s="3">
        <v>100</v>
      </c>
      <c r="L46" s="21">
        <f t="shared" si="2"/>
        <v>4000</v>
      </c>
      <c r="M46" s="5"/>
      <c r="N46" s="5">
        <v>10000</v>
      </c>
      <c r="O46" s="30">
        <f t="shared" si="1"/>
        <v>4000</v>
      </c>
      <c r="P46" s="23">
        <v>45627</v>
      </c>
      <c r="Q46" s="2" t="s">
        <v>2812</v>
      </c>
    </row>
    <row r="47" spans="1:17" ht="30" x14ac:dyDescent="0.2">
      <c r="A47" s="3" t="s">
        <v>20</v>
      </c>
      <c r="B47" s="8" t="s">
        <v>1627</v>
      </c>
      <c r="C47" s="12" t="s">
        <v>39</v>
      </c>
      <c r="D47" s="2" t="s">
        <v>1631</v>
      </c>
      <c r="E47" s="3" t="s">
        <v>1949</v>
      </c>
      <c r="F47" s="3" t="s">
        <v>27</v>
      </c>
      <c r="G47" s="2" t="s">
        <v>115</v>
      </c>
      <c r="H47" s="3" t="s">
        <v>23</v>
      </c>
      <c r="I47" s="5">
        <v>83440</v>
      </c>
      <c r="J47" s="5">
        <v>83440</v>
      </c>
      <c r="K47" s="3">
        <v>100</v>
      </c>
      <c r="L47" s="21">
        <f t="shared" si="2"/>
        <v>33376</v>
      </c>
      <c r="M47" s="5"/>
      <c r="N47" s="5">
        <v>83440</v>
      </c>
      <c r="O47" s="30">
        <f t="shared" si="1"/>
        <v>33376</v>
      </c>
      <c r="P47" s="23"/>
      <c r="Q47" s="2" t="s">
        <v>2614</v>
      </c>
    </row>
    <row r="48" spans="1:17" ht="60" x14ac:dyDescent="0.2">
      <c r="A48" s="3" t="s">
        <v>20</v>
      </c>
      <c r="B48" s="8" t="s">
        <v>1635</v>
      </c>
      <c r="C48" s="12" t="s">
        <v>39</v>
      </c>
      <c r="D48" s="2" t="s">
        <v>456</v>
      </c>
      <c r="E48" s="3" t="s">
        <v>1949</v>
      </c>
      <c r="F48" s="3" t="s">
        <v>27</v>
      </c>
      <c r="G48" s="2" t="s">
        <v>453</v>
      </c>
      <c r="H48" s="3" t="s">
        <v>23</v>
      </c>
      <c r="I48" s="5">
        <v>380000</v>
      </c>
      <c r="J48" s="5">
        <v>380000</v>
      </c>
      <c r="K48" s="3">
        <v>100</v>
      </c>
      <c r="L48" s="21">
        <f t="shared" si="2"/>
        <v>152000</v>
      </c>
      <c r="M48" s="5"/>
      <c r="N48" s="5">
        <v>380000</v>
      </c>
      <c r="O48" s="30">
        <f t="shared" si="1"/>
        <v>152000</v>
      </c>
      <c r="P48" s="23">
        <v>45541</v>
      </c>
      <c r="Q48" s="2" t="s">
        <v>2817</v>
      </c>
    </row>
    <row r="49" spans="1:18" ht="30" x14ac:dyDescent="0.2">
      <c r="A49" s="3" t="s">
        <v>20</v>
      </c>
      <c r="B49" s="8" t="s">
        <v>1706</v>
      </c>
      <c r="C49" s="12" t="s">
        <v>39</v>
      </c>
      <c r="D49" s="2" t="s">
        <v>1707</v>
      </c>
      <c r="E49" s="3" t="s">
        <v>1949</v>
      </c>
      <c r="F49" s="3" t="s">
        <v>27</v>
      </c>
      <c r="G49" s="2" t="s">
        <v>251</v>
      </c>
      <c r="H49" s="3" t="s">
        <v>23</v>
      </c>
      <c r="I49" s="5">
        <v>2198444.4900000002</v>
      </c>
      <c r="J49" s="5">
        <v>2198444.4900000002</v>
      </c>
      <c r="K49" s="3">
        <v>100</v>
      </c>
      <c r="L49" s="21">
        <f t="shared" si="2"/>
        <v>879377.79600000009</v>
      </c>
      <c r="M49" s="5"/>
      <c r="N49" s="5">
        <v>2198444.4900000002</v>
      </c>
      <c r="O49" s="30">
        <f t="shared" si="1"/>
        <v>879377.79600000009</v>
      </c>
      <c r="P49" s="23" t="s">
        <v>2611</v>
      </c>
      <c r="Q49" s="2" t="s">
        <v>2816</v>
      </c>
    </row>
    <row r="50" spans="1:18" ht="30" x14ac:dyDescent="0.2">
      <c r="A50" s="3" t="s">
        <v>20</v>
      </c>
      <c r="B50" s="8" t="s">
        <v>1730</v>
      </c>
      <c r="C50" s="12" t="s">
        <v>39</v>
      </c>
      <c r="D50" s="2" t="s">
        <v>1732</v>
      </c>
      <c r="E50" s="3" t="s">
        <v>1949</v>
      </c>
      <c r="F50" s="3" t="s">
        <v>114</v>
      </c>
      <c r="G50" s="2" t="s">
        <v>1733</v>
      </c>
      <c r="H50" s="3" t="s">
        <v>23</v>
      </c>
      <c r="I50" s="5">
        <v>323400</v>
      </c>
      <c r="J50" s="5">
        <v>323400</v>
      </c>
      <c r="K50" s="3">
        <v>100</v>
      </c>
      <c r="L50" s="21">
        <f t="shared" si="2"/>
        <v>129360</v>
      </c>
      <c r="M50" s="5"/>
      <c r="N50" s="5">
        <v>323400</v>
      </c>
      <c r="O50" s="30">
        <f t="shared" si="1"/>
        <v>129360</v>
      </c>
      <c r="P50" s="23">
        <v>45597</v>
      </c>
      <c r="Q50" s="2" t="s">
        <v>2480</v>
      </c>
    </row>
    <row r="51" spans="1:18" ht="30" x14ac:dyDescent="0.2">
      <c r="A51" s="3" t="s">
        <v>20</v>
      </c>
      <c r="B51" s="8" t="s">
        <v>1753</v>
      </c>
      <c r="C51" s="12" t="s">
        <v>39</v>
      </c>
      <c r="D51" s="2" t="s">
        <v>1758</v>
      </c>
      <c r="E51" s="3" t="s">
        <v>1949</v>
      </c>
      <c r="F51" s="3" t="s">
        <v>27</v>
      </c>
      <c r="G51" s="2" t="s">
        <v>1754</v>
      </c>
      <c r="H51" s="3" t="s">
        <v>23</v>
      </c>
      <c r="I51" s="5">
        <v>5000000</v>
      </c>
      <c r="J51" s="5">
        <v>5000000</v>
      </c>
      <c r="K51" s="3">
        <v>100</v>
      </c>
      <c r="L51" s="21">
        <f t="shared" si="2"/>
        <v>2000000</v>
      </c>
      <c r="M51" s="5"/>
      <c r="N51" s="5">
        <v>5000000</v>
      </c>
      <c r="O51" s="30">
        <f t="shared" si="1"/>
        <v>2000000</v>
      </c>
      <c r="P51" s="23" t="s">
        <v>2405</v>
      </c>
      <c r="Q51" s="2" t="s">
        <v>2406</v>
      </c>
    </row>
    <row r="52" spans="1:18" ht="30" x14ac:dyDescent="0.2">
      <c r="A52" s="3" t="s">
        <v>20</v>
      </c>
      <c r="B52" s="8" t="s">
        <v>1760</v>
      </c>
      <c r="C52" s="12" t="s">
        <v>39</v>
      </c>
      <c r="D52" s="2" t="s">
        <v>1765</v>
      </c>
      <c r="E52" s="3" t="s">
        <v>1949</v>
      </c>
      <c r="F52" s="3" t="s">
        <v>27</v>
      </c>
      <c r="G52" s="2" t="s">
        <v>1761</v>
      </c>
      <c r="H52" s="3" t="s">
        <v>23</v>
      </c>
      <c r="I52" s="5">
        <v>23000</v>
      </c>
      <c r="J52" s="5">
        <v>23000</v>
      </c>
      <c r="K52" s="3">
        <v>100</v>
      </c>
      <c r="L52" s="21">
        <f t="shared" si="2"/>
        <v>9200</v>
      </c>
      <c r="M52" s="5"/>
      <c r="N52" s="5">
        <v>23000</v>
      </c>
      <c r="O52" s="30">
        <f t="shared" si="1"/>
        <v>9200</v>
      </c>
      <c r="P52" s="23" t="s">
        <v>2041</v>
      </c>
      <c r="Q52" s="2" t="s">
        <v>2407</v>
      </c>
    </row>
    <row r="53" spans="1:18" ht="30" x14ac:dyDescent="0.2">
      <c r="A53" s="3" t="s">
        <v>20</v>
      </c>
      <c r="B53" s="8" t="s">
        <v>1760</v>
      </c>
      <c r="C53" s="12" t="s">
        <v>39</v>
      </c>
      <c r="D53" s="2" t="s">
        <v>1766</v>
      </c>
      <c r="E53" s="3" t="s">
        <v>1949</v>
      </c>
      <c r="F53" s="3" t="s">
        <v>27</v>
      </c>
      <c r="G53" s="2" t="s">
        <v>561</v>
      </c>
      <c r="H53" s="3" t="s">
        <v>23</v>
      </c>
      <c r="I53" s="5">
        <v>800000</v>
      </c>
      <c r="J53" s="5">
        <v>800000</v>
      </c>
      <c r="K53" s="3">
        <v>100</v>
      </c>
      <c r="L53" s="21">
        <f t="shared" si="2"/>
        <v>320000</v>
      </c>
      <c r="M53" s="5"/>
      <c r="N53" s="5">
        <v>800000</v>
      </c>
      <c r="O53" s="30">
        <f t="shared" si="1"/>
        <v>320000</v>
      </c>
      <c r="P53" s="23" t="s">
        <v>2031</v>
      </c>
      <c r="Q53" s="2" t="s">
        <v>2403</v>
      </c>
    </row>
    <row r="54" spans="1:18" ht="30" x14ac:dyDescent="0.2">
      <c r="A54" s="3" t="s">
        <v>20</v>
      </c>
      <c r="B54" s="8" t="s">
        <v>1794</v>
      </c>
      <c r="C54" s="12" t="s">
        <v>39</v>
      </c>
      <c r="D54" s="2" t="s">
        <v>1802</v>
      </c>
      <c r="E54" s="3" t="s">
        <v>1949</v>
      </c>
      <c r="F54" s="3" t="s">
        <v>27</v>
      </c>
      <c r="G54" s="2" t="s">
        <v>775</v>
      </c>
      <c r="H54" s="3" t="s">
        <v>23</v>
      </c>
      <c r="I54" s="5">
        <v>1500000</v>
      </c>
      <c r="J54" s="5">
        <v>1500000</v>
      </c>
      <c r="K54" s="3">
        <v>100</v>
      </c>
      <c r="L54" s="21">
        <f t="shared" si="2"/>
        <v>600000</v>
      </c>
      <c r="M54" s="5"/>
      <c r="N54" s="5">
        <v>1500000</v>
      </c>
      <c r="O54" s="30">
        <f t="shared" si="1"/>
        <v>600000</v>
      </c>
      <c r="P54" s="23" t="s">
        <v>2489</v>
      </c>
      <c r="Q54" s="2" t="s">
        <v>2805</v>
      </c>
    </row>
    <row r="55" spans="1:18" ht="30" outlineLevel="2" x14ac:dyDescent="0.2">
      <c r="A55" s="3" t="s">
        <v>20</v>
      </c>
      <c r="B55" s="8" t="s">
        <v>1930</v>
      </c>
      <c r="C55" s="12" t="s">
        <v>39</v>
      </c>
      <c r="D55" s="2" t="s">
        <v>811</v>
      </c>
      <c r="E55" s="3" t="s">
        <v>1949</v>
      </c>
      <c r="F55" s="3" t="s">
        <v>27</v>
      </c>
      <c r="G55" s="2" t="s">
        <v>804</v>
      </c>
      <c r="H55" s="3" t="s">
        <v>23</v>
      </c>
      <c r="I55" s="5">
        <v>2000000</v>
      </c>
      <c r="J55" s="5">
        <v>2000000</v>
      </c>
      <c r="K55" s="3">
        <v>100</v>
      </c>
      <c r="L55" s="21">
        <f t="shared" si="2"/>
        <v>800000</v>
      </c>
      <c r="M55" s="5"/>
      <c r="N55" s="5">
        <v>2000000</v>
      </c>
      <c r="O55" s="30">
        <f t="shared" si="1"/>
        <v>800000</v>
      </c>
      <c r="P55" s="23" t="s">
        <v>2031</v>
      </c>
      <c r="Q55" s="2" t="s">
        <v>2503</v>
      </c>
    </row>
    <row r="56" spans="1:18" ht="20.25" customHeight="1" outlineLevel="1" x14ac:dyDescent="0.2">
      <c r="A56" s="145"/>
      <c r="B56" s="145"/>
      <c r="C56" s="146" t="s">
        <v>1946</v>
      </c>
      <c r="D56" s="2"/>
      <c r="E56" s="145"/>
      <c r="F56" s="3"/>
      <c r="G56" s="147"/>
      <c r="H56" s="3"/>
      <c r="I56" s="27">
        <f>SUM(I12:I55)</f>
        <v>39893180.877999999</v>
      </c>
      <c r="J56" s="27">
        <f>SUM(J12:J55)</f>
        <v>39893180.877999999</v>
      </c>
      <c r="K56" s="21"/>
      <c r="L56" s="149">
        <f>SUM(L12:L55)</f>
        <v>19859709.472000003</v>
      </c>
      <c r="M56" s="148">
        <f>SUM(M12:M55)</f>
        <v>552311.6</v>
      </c>
      <c r="N56" s="27">
        <f>SUM(N12:N55)</f>
        <v>39340869.277999997</v>
      </c>
      <c r="O56" s="150">
        <f>SUM(O12:O55)</f>
        <v>19307397.872000001</v>
      </c>
      <c r="P56" s="32"/>
      <c r="Q56" s="33"/>
    </row>
    <row r="57" spans="1:18" ht="90" outlineLevel="2" x14ac:dyDescent="0.2">
      <c r="A57" s="3" t="s">
        <v>20</v>
      </c>
      <c r="B57" s="8" t="s">
        <v>13</v>
      </c>
      <c r="C57" s="12" t="s">
        <v>14</v>
      </c>
      <c r="D57" s="2" t="s">
        <v>21</v>
      </c>
      <c r="E57" s="3" t="s">
        <v>1949</v>
      </c>
      <c r="F57" s="3" t="s">
        <v>22</v>
      </c>
      <c r="G57" s="2" t="s">
        <v>18</v>
      </c>
      <c r="H57" s="3" t="s">
        <v>23</v>
      </c>
      <c r="I57" s="5">
        <v>3098060.23</v>
      </c>
      <c r="J57" s="5">
        <v>3098060.23</v>
      </c>
      <c r="K57" s="3">
        <v>100</v>
      </c>
      <c r="L57" s="21">
        <v>1239224.0919999999</v>
      </c>
      <c r="M57" s="5"/>
      <c r="N57" s="5">
        <v>3098060.23</v>
      </c>
      <c r="O57" s="30">
        <f t="shared" ref="O57:O77" si="3">L57-M57</f>
        <v>1239224.0919999999</v>
      </c>
      <c r="P57" s="22"/>
      <c r="Q57" s="2" t="s">
        <v>2684</v>
      </c>
      <c r="R57" s="34"/>
    </row>
    <row r="58" spans="1:18" ht="105" outlineLevel="2" x14ac:dyDescent="0.2">
      <c r="A58" s="3" t="s">
        <v>20</v>
      </c>
      <c r="B58" s="8" t="s">
        <v>409</v>
      </c>
      <c r="C58" s="12" t="s">
        <v>14</v>
      </c>
      <c r="D58" s="2" t="s">
        <v>413</v>
      </c>
      <c r="E58" s="3" t="s">
        <v>1949</v>
      </c>
      <c r="F58" s="3" t="s">
        <v>22</v>
      </c>
      <c r="G58" s="2" t="s">
        <v>18</v>
      </c>
      <c r="H58" s="3" t="s">
        <v>23</v>
      </c>
      <c r="I58" s="5">
        <v>2794560.54</v>
      </c>
      <c r="J58" s="5">
        <v>2794560.54</v>
      </c>
      <c r="K58" s="3">
        <v>100</v>
      </c>
      <c r="L58" s="21">
        <v>1117824.216</v>
      </c>
      <c r="M58" s="5"/>
      <c r="N58" s="5">
        <v>2794560.54</v>
      </c>
      <c r="O58" s="30">
        <f t="shared" si="3"/>
        <v>1117824.216</v>
      </c>
      <c r="P58" s="22"/>
      <c r="Q58" s="2" t="s">
        <v>2685</v>
      </c>
      <c r="R58" s="54"/>
    </row>
    <row r="59" spans="1:18" ht="30" outlineLevel="2" x14ac:dyDescent="0.2">
      <c r="A59" s="3" t="s">
        <v>20</v>
      </c>
      <c r="B59" s="8" t="s">
        <v>439</v>
      </c>
      <c r="C59" s="12" t="s">
        <v>14</v>
      </c>
      <c r="D59" s="2" t="s">
        <v>440</v>
      </c>
      <c r="E59" s="3" t="s">
        <v>1949</v>
      </c>
      <c r="F59" s="3" t="s">
        <v>22</v>
      </c>
      <c r="G59" s="2" t="s">
        <v>441</v>
      </c>
      <c r="H59" s="3" t="s">
        <v>23</v>
      </c>
      <c r="I59" s="5">
        <v>11033.72</v>
      </c>
      <c r="J59" s="5">
        <v>11033.72</v>
      </c>
      <c r="K59" s="3">
        <v>100</v>
      </c>
      <c r="L59" s="21">
        <v>4413.4880000000003</v>
      </c>
      <c r="M59" s="5"/>
      <c r="N59" s="5">
        <v>11033.72</v>
      </c>
      <c r="O59" s="30">
        <f t="shared" si="3"/>
        <v>4413.4880000000003</v>
      </c>
      <c r="P59" s="22"/>
      <c r="Q59" s="2" t="s">
        <v>1968</v>
      </c>
      <c r="R59" s="54"/>
    </row>
    <row r="60" spans="1:18" ht="45" outlineLevel="2" x14ac:dyDescent="0.2">
      <c r="A60" s="3" t="s">
        <v>20</v>
      </c>
      <c r="B60" s="8" t="s">
        <v>1109</v>
      </c>
      <c r="C60" s="12" t="s">
        <v>14</v>
      </c>
      <c r="D60" s="2" t="s">
        <v>1112</v>
      </c>
      <c r="E60" s="3" t="s">
        <v>1949</v>
      </c>
      <c r="F60" s="3" t="s">
        <v>22</v>
      </c>
      <c r="G60" s="2" t="s">
        <v>18</v>
      </c>
      <c r="H60" s="3" t="s">
        <v>23</v>
      </c>
      <c r="I60" s="5">
        <v>12071561.76</v>
      </c>
      <c r="J60" s="5">
        <v>12071561.76</v>
      </c>
      <c r="K60" s="3">
        <v>100</v>
      </c>
      <c r="L60" s="21">
        <v>4828624.7039999999</v>
      </c>
      <c r="M60" s="5"/>
      <c r="N60" s="5">
        <v>12071561.76</v>
      </c>
      <c r="O60" s="30">
        <f t="shared" si="3"/>
        <v>4828624.7039999999</v>
      </c>
      <c r="P60" s="22"/>
      <c r="Q60" s="2" t="s">
        <v>2686</v>
      </c>
      <c r="R60" s="34"/>
    </row>
    <row r="61" spans="1:18" ht="60" outlineLevel="2" x14ac:dyDescent="0.2">
      <c r="A61" s="3" t="s">
        <v>20</v>
      </c>
      <c r="B61" s="8" t="s">
        <v>1280</v>
      </c>
      <c r="C61" s="12" t="s">
        <v>14</v>
      </c>
      <c r="D61" s="2" t="s">
        <v>1284</v>
      </c>
      <c r="E61" s="3" t="s">
        <v>1949</v>
      </c>
      <c r="F61" s="3" t="s">
        <v>22</v>
      </c>
      <c r="G61" s="2" t="s">
        <v>18</v>
      </c>
      <c r="H61" s="3" t="s">
        <v>23</v>
      </c>
      <c r="I61" s="5">
        <v>23463245.059999999</v>
      </c>
      <c r="J61" s="5">
        <v>23463245.059999999</v>
      </c>
      <c r="K61" s="3">
        <v>100</v>
      </c>
      <c r="L61" s="21">
        <v>9385298.0240000002</v>
      </c>
      <c r="M61" s="5"/>
      <c r="N61" s="5">
        <v>23463245.059999999</v>
      </c>
      <c r="O61" s="30">
        <f t="shared" si="3"/>
        <v>9385298.0240000002</v>
      </c>
      <c r="P61" s="22"/>
      <c r="Q61" s="2" t="s">
        <v>2687</v>
      </c>
      <c r="R61" s="34"/>
    </row>
    <row r="62" spans="1:18" ht="45" outlineLevel="2" x14ac:dyDescent="0.2">
      <c r="A62" s="3" t="s">
        <v>20</v>
      </c>
      <c r="B62" s="8" t="s">
        <v>1315</v>
      </c>
      <c r="C62" s="12" t="s">
        <v>14</v>
      </c>
      <c r="D62" s="2" t="s">
        <v>1505</v>
      </c>
      <c r="E62" s="3" t="s">
        <v>1949</v>
      </c>
      <c r="F62" s="3" t="s">
        <v>1506</v>
      </c>
      <c r="G62" s="2" t="s">
        <v>1507</v>
      </c>
      <c r="H62" s="3" t="s">
        <v>23</v>
      </c>
      <c r="I62" s="5">
        <v>2200000</v>
      </c>
      <c r="J62" s="5">
        <v>1760000</v>
      </c>
      <c r="K62" s="3">
        <v>80</v>
      </c>
      <c r="L62" s="21">
        <f>I62*0.4</f>
        <v>880000</v>
      </c>
      <c r="M62" s="5"/>
      <c r="N62" s="5">
        <v>1760000</v>
      </c>
      <c r="O62" s="30">
        <f t="shared" si="3"/>
        <v>880000</v>
      </c>
      <c r="P62" s="22"/>
      <c r="Q62" s="2" t="s">
        <v>1969</v>
      </c>
      <c r="R62" s="34"/>
    </row>
    <row r="63" spans="1:18" ht="135" outlineLevel="2" x14ac:dyDescent="0.2">
      <c r="A63" s="3" t="s">
        <v>20</v>
      </c>
      <c r="B63" s="8" t="s">
        <v>2688</v>
      </c>
      <c r="C63" s="12" t="s">
        <v>14</v>
      </c>
      <c r="D63" s="2" t="s">
        <v>1537</v>
      </c>
      <c r="E63" s="3" t="s">
        <v>1949</v>
      </c>
      <c r="F63" s="3" t="s">
        <v>1506</v>
      </c>
      <c r="G63" s="2" t="s">
        <v>1538</v>
      </c>
      <c r="H63" s="3" t="s">
        <v>23</v>
      </c>
      <c r="I63" s="5">
        <v>1130307.1200000001</v>
      </c>
      <c r="J63" s="5">
        <f>I63*0.8</f>
        <v>904245.69600000011</v>
      </c>
      <c r="K63" s="3">
        <v>80</v>
      </c>
      <c r="L63" s="21">
        <f>I63*0.4</f>
        <v>452122.84800000006</v>
      </c>
      <c r="M63" s="5"/>
      <c r="N63" s="5">
        <f>J63-M63</f>
        <v>904245.69600000011</v>
      </c>
      <c r="O63" s="30">
        <f t="shared" si="3"/>
        <v>452122.84800000006</v>
      </c>
      <c r="P63" s="22"/>
      <c r="Q63" s="2" t="s">
        <v>2747</v>
      </c>
      <c r="R63" s="34"/>
    </row>
    <row r="64" spans="1:18" ht="60" outlineLevel="2" x14ac:dyDescent="0.2">
      <c r="A64" s="3" t="s">
        <v>20</v>
      </c>
      <c r="B64" s="8" t="s">
        <v>1315</v>
      </c>
      <c r="C64" s="12" t="s">
        <v>14</v>
      </c>
      <c r="D64" s="2" t="s">
        <v>1559</v>
      </c>
      <c r="E64" s="3" t="s">
        <v>1949</v>
      </c>
      <c r="F64" s="3" t="s">
        <v>1506</v>
      </c>
      <c r="G64" s="2" t="s">
        <v>1559</v>
      </c>
      <c r="H64" s="3" t="s">
        <v>23</v>
      </c>
      <c r="I64" s="5">
        <v>605685.60000000009</v>
      </c>
      <c r="J64" s="5">
        <f>I64*0.8</f>
        <v>484548.4800000001</v>
      </c>
      <c r="K64" s="3">
        <v>80</v>
      </c>
      <c r="L64" s="21">
        <f>I64*0.4</f>
        <v>242274.24000000005</v>
      </c>
      <c r="M64" s="5"/>
      <c r="N64" s="5">
        <f>J64-M64</f>
        <v>484548.4800000001</v>
      </c>
      <c r="O64" s="30">
        <f t="shared" si="3"/>
        <v>242274.24000000005</v>
      </c>
      <c r="P64" s="22"/>
      <c r="Q64" s="2" t="s">
        <v>2748</v>
      </c>
      <c r="R64" s="34"/>
    </row>
    <row r="65" spans="1:18" ht="60" outlineLevel="2" x14ac:dyDescent="0.2">
      <c r="A65" s="3" t="s">
        <v>20</v>
      </c>
      <c r="B65" s="8" t="s">
        <v>1315</v>
      </c>
      <c r="C65" s="12" t="s">
        <v>14</v>
      </c>
      <c r="D65" s="2" t="s">
        <v>1561</v>
      </c>
      <c r="E65" s="3" t="s">
        <v>1949</v>
      </c>
      <c r="F65" s="3" t="s">
        <v>22</v>
      </c>
      <c r="G65" s="2" t="s">
        <v>461</v>
      </c>
      <c r="H65" s="3" t="s">
        <v>23</v>
      </c>
      <c r="I65" s="5">
        <v>113021.71</v>
      </c>
      <c r="J65" s="5">
        <v>113021.71</v>
      </c>
      <c r="K65" s="3">
        <v>100</v>
      </c>
      <c r="L65" s="21">
        <v>45208.684000000008</v>
      </c>
      <c r="M65" s="5"/>
      <c r="N65" s="5">
        <v>113021.71</v>
      </c>
      <c r="O65" s="30">
        <f t="shared" si="3"/>
        <v>45208.684000000008</v>
      </c>
      <c r="P65" s="22"/>
      <c r="Q65" s="2" t="s">
        <v>2749</v>
      </c>
      <c r="R65" s="34"/>
    </row>
    <row r="66" spans="1:18" ht="150" outlineLevel="2" x14ac:dyDescent="0.2">
      <c r="A66" s="3" t="s">
        <v>20</v>
      </c>
      <c r="B66" s="8" t="s">
        <v>1315</v>
      </c>
      <c r="C66" s="12" t="s">
        <v>14</v>
      </c>
      <c r="D66" s="2" t="s">
        <v>1562</v>
      </c>
      <c r="E66" s="3" t="s">
        <v>1949</v>
      </c>
      <c r="F66" s="3" t="s">
        <v>22</v>
      </c>
      <c r="G66" s="2" t="s">
        <v>1495</v>
      </c>
      <c r="H66" s="3" t="s">
        <v>23</v>
      </c>
      <c r="I66" s="5">
        <v>441884.39</v>
      </c>
      <c r="J66" s="5">
        <v>441884.39</v>
      </c>
      <c r="K66" s="3">
        <v>100</v>
      </c>
      <c r="L66" s="21">
        <v>176753.75600000002</v>
      </c>
      <c r="M66" s="5"/>
      <c r="N66" s="5">
        <v>441884.39</v>
      </c>
      <c r="O66" s="30">
        <f t="shared" si="3"/>
        <v>176753.75600000002</v>
      </c>
      <c r="P66" s="22"/>
      <c r="Q66" s="2" t="s">
        <v>2750</v>
      </c>
      <c r="R66" s="34"/>
    </row>
    <row r="67" spans="1:18" ht="120" outlineLevel="2" x14ac:dyDescent="0.2">
      <c r="A67" s="3" t="s">
        <v>20</v>
      </c>
      <c r="B67" s="8" t="s">
        <v>2690</v>
      </c>
      <c r="C67" s="12" t="s">
        <v>14</v>
      </c>
      <c r="D67" s="2" t="s">
        <v>1563</v>
      </c>
      <c r="E67" s="3" t="s">
        <v>1949</v>
      </c>
      <c r="F67" s="3" t="s">
        <v>1506</v>
      </c>
      <c r="G67" s="2" t="s">
        <v>999</v>
      </c>
      <c r="H67" s="3" t="s">
        <v>23</v>
      </c>
      <c r="I67" s="5">
        <v>373000</v>
      </c>
      <c r="J67" s="5">
        <v>298400</v>
      </c>
      <c r="K67" s="3">
        <v>80</v>
      </c>
      <c r="L67" s="21">
        <v>149200</v>
      </c>
      <c r="M67" s="5"/>
      <c r="N67" s="5">
        <v>298400</v>
      </c>
      <c r="O67" s="30">
        <f t="shared" si="3"/>
        <v>149200</v>
      </c>
      <c r="P67" s="22"/>
      <c r="Q67" s="2" t="s">
        <v>2691</v>
      </c>
      <c r="R67" s="34"/>
    </row>
    <row r="68" spans="1:18" ht="60" outlineLevel="2" x14ac:dyDescent="0.2">
      <c r="A68" s="3" t="s">
        <v>20</v>
      </c>
      <c r="B68" s="8" t="s">
        <v>1315</v>
      </c>
      <c r="C68" s="12" t="s">
        <v>14</v>
      </c>
      <c r="D68" s="2" t="s">
        <v>1566</v>
      </c>
      <c r="E68" s="3" t="s">
        <v>1949</v>
      </c>
      <c r="F68" s="3" t="s">
        <v>1506</v>
      </c>
      <c r="G68" s="2" t="s">
        <v>1566</v>
      </c>
      <c r="H68" s="3" t="s">
        <v>23</v>
      </c>
      <c r="I68" s="5">
        <v>1100000</v>
      </c>
      <c r="J68" s="5">
        <v>880000</v>
      </c>
      <c r="K68" s="3">
        <v>80</v>
      </c>
      <c r="L68" s="21">
        <v>440000</v>
      </c>
      <c r="M68" s="5"/>
      <c r="N68" s="5">
        <v>880000</v>
      </c>
      <c r="O68" s="30">
        <f t="shared" si="3"/>
        <v>440000</v>
      </c>
      <c r="P68" s="22"/>
      <c r="Q68" s="2" t="s">
        <v>2692</v>
      </c>
      <c r="R68" s="34"/>
    </row>
    <row r="69" spans="1:18" ht="60" outlineLevel="2" x14ac:dyDescent="0.2">
      <c r="A69" s="3" t="s">
        <v>20</v>
      </c>
      <c r="B69" s="8" t="s">
        <v>2693</v>
      </c>
      <c r="C69" s="12" t="s">
        <v>14</v>
      </c>
      <c r="D69" s="2" t="s">
        <v>1583</v>
      </c>
      <c r="E69" s="3" t="s">
        <v>1949</v>
      </c>
      <c r="F69" s="3" t="s">
        <v>1584</v>
      </c>
      <c r="G69" s="2" t="s">
        <v>1585</v>
      </c>
      <c r="H69" s="3" t="s">
        <v>23</v>
      </c>
      <c r="I69" s="5">
        <v>11858202.27</v>
      </c>
      <c r="J69" s="5">
        <v>9486561.8200000003</v>
      </c>
      <c r="K69" s="3">
        <v>80</v>
      </c>
      <c r="L69" s="21">
        <v>4743280.9079999998</v>
      </c>
      <c r="M69" s="5"/>
      <c r="N69" s="5">
        <v>9486561.8200000003</v>
      </c>
      <c r="O69" s="30">
        <f t="shared" si="3"/>
        <v>4743280.9079999998</v>
      </c>
      <c r="P69" s="22"/>
      <c r="Q69" s="2" t="s">
        <v>1971</v>
      </c>
      <c r="R69" s="34"/>
    </row>
    <row r="70" spans="1:18" ht="105" outlineLevel="2" x14ac:dyDescent="0.2">
      <c r="A70" s="3" t="s">
        <v>20</v>
      </c>
      <c r="B70" s="8" t="s">
        <v>2694</v>
      </c>
      <c r="C70" s="12" t="s">
        <v>14</v>
      </c>
      <c r="D70" s="2" t="s">
        <v>1596</v>
      </c>
      <c r="E70" s="3" t="s">
        <v>1949</v>
      </c>
      <c r="F70" s="3" t="s">
        <v>1506</v>
      </c>
      <c r="G70" s="2" t="s">
        <v>1597</v>
      </c>
      <c r="H70" s="3" t="s">
        <v>23</v>
      </c>
      <c r="I70" s="5">
        <v>1634353.88</v>
      </c>
      <c r="J70" s="5">
        <v>1307483.1000000001</v>
      </c>
      <c r="K70" s="3">
        <v>80</v>
      </c>
      <c r="L70" s="21">
        <v>653741.55200000003</v>
      </c>
      <c r="M70" s="5"/>
      <c r="N70" s="5">
        <v>1307483.1000000001</v>
      </c>
      <c r="O70" s="30">
        <f t="shared" si="3"/>
        <v>653741.55200000003</v>
      </c>
      <c r="P70" s="22"/>
      <c r="Q70" s="2" t="s">
        <v>2689</v>
      </c>
      <c r="R70" s="34"/>
    </row>
    <row r="71" spans="1:18" ht="60" outlineLevel="2" x14ac:dyDescent="0.2">
      <c r="A71" s="3" t="s">
        <v>20</v>
      </c>
      <c r="B71" s="8" t="s">
        <v>1315</v>
      </c>
      <c r="C71" s="12" t="s">
        <v>14</v>
      </c>
      <c r="D71" s="2" t="s">
        <v>1599</v>
      </c>
      <c r="E71" s="3" t="s">
        <v>1949</v>
      </c>
      <c r="F71" s="3" t="s">
        <v>1600</v>
      </c>
      <c r="G71" s="2" t="s">
        <v>468</v>
      </c>
      <c r="H71" s="3" t="s">
        <v>23</v>
      </c>
      <c r="I71" s="5">
        <v>70461.08</v>
      </c>
      <c r="J71" s="5">
        <v>70461.08</v>
      </c>
      <c r="K71" s="3">
        <v>100</v>
      </c>
      <c r="L71" s="21">
        <v>28184.432000000001</v>
      </c>
      <c r="M71" s="5"/>
      <c r="N71" s="5">
        <v>70461.08</v>
      </c>
      <c r="O71" s="30">
        <f t="shared" si="3"/>
        <v>28184.432000000001</v>
      </c>
      <c r="P71" s="22"/>
      <c r="Q71" s="2" t="s">
        <v>1972</v>
      </c>
      <c r="R71" s="34"/>
    </row>
    <row r="72" spans="1:18" ht="75" outlineLevel="2" x14ac:dyDescent="0.2">
      <c r="A72" s="3" t="s">
        <v>20</v>
      </c>
      <c r="B72" s="8" t="s">
        <v>1315</v>
      </c>
      <c r="C72" s="12" t="s">
        <v>14</v>
      </c>
      <c r="D72" s="2" t="s">
        <v>1612</v>
      </c>
      <c r="E72" s="3" t="s">
        <v>1949</v>
      </c>
      <c r="F72" s="3" t="s">
        <v>1506</v>
      </c>
      <c r="G72" s="2" t="s">
        <v>1613</v>
      </c>
      <c r="H72" s="3" t="s">
        <v>23</v>
      </c>
      <c r="I72" s="5">
        <v>4953830.51</v>
      </c>
      <c r="J72" s="5">
        <v>3963064.41</v>
      </c>
      <c r="K72" s="3">
        <v>80</v>
      </c>
      <c r="L72" s="21">
        <v>1981532.2039999999</v>
      </c>
      <c r="M72" s="5"/>
      <c r="N72" s="5">
        <v>3963064.41</v>
      </c>
      <c r="O72" s="30">
        <f t="shared" si="3"/>
        <v>1981532.2039999999</v>
      </c>
      <c r="P72" s="22"/>
      <c r="Q72" s="2" t="s">
        <v>2695</v>
      </c>
      <c r="R72" s="34"/>
    </row>
    <row r="73" spans="1:18" ht="30" outlineLevel="2" x14ac:dyDescent="0.2">
      <c r="A73" s="3" t="s">
        <v>20</v>
      </c>
      <c r="B73" s="8" t="s">
        <v>1315</v>
      </c>
      <c r="C73" s="12" t="s">
        <v>14</v>
      </c>
      <c r="D73" s="2" t="s">
        <v>1614</v>
      </c>
      <c r="E73" s="3" t="s">
        <v>1949</v>
      </c>
      <c r="F73" s="3" t="s">
        <v>22</v>
      </c>
      <c r="G73" s="2" t="s">
        <v>1611</v>
      </c>
      <c r="H73" s="3" t="s">
        <v>23</v>
      </c>
      <c r="I73" s="5">
        <v>62624.7</v>
      </c>
      <c r="J73" s="5">
        <v>62624.7</v>
      </c>
      <c r="K73" s="3">
        <v>100</v>
      </c>
      <c r="L73" s="21">
        <v>25049.88</v>
      </c>
      <c r="M73" s="5"/>
      <c r="N73" s="5">
        <v>62624.7</v>
      </c>
      <c r="O73" s="30">
        <f t="shared" si="3"/>
        <v>25049.88</v>
      </c>
      <c r="P73" s="22"/>
      <c r="Q73" s="2" t="s">
        <v>1970</v>
      </c>
      <c r="R73" s="34"/>
    </row>
    <row r="74" spans="1:18" ht="30" outlineLevel="2" x14ac:dyDescent="0.2">
      <c r="A74" s="3" t="s">
        <v>20</v>
      </c>
      <c r="B74" s="8" t="s">
        <v>1315</v>
      </c>
      <c r="C74" s="12" t="s">
        <v>14</v>
      </c>
      <c r="D74" s="2" t="s">
        <v>1625</v>
      </c>
      <c r="E74" s="3" t="s">
        <v>1949</v>
      </c>
      <c r="F74" s="3" t="s">
        <v>22</v>
      </c>
      <c r="G74" s="2" t="s">
        <v>1114</v>
      </c>
      <c r="H74" s="3" t="s">
        <v>23</v>
      </c>
      <c r="I74" s="5">
        <v>121387.87</v>
      </c>
      <c r="J74" s="5">
        <v>121387.87</v>
      </c>
      <c r="K74" s="3">
        <v>100</v>
      </c>
      <c r="L74" s="21">
        <v>48555.148000000001</v>
      </c>
      <c r="M74" s="5"/>
      <c r="N74" s="5">
        <v>121387.87</v>
      </c>
      <c r="O74" s="30">
        <f t="shared" si="3"/>
        <v>48555.148000000001</v>
      </c>
      <c r="P74" s="22"/>
      <c r="Q74" s="2" t="s">
        <v>1970</v>
      </c>
      <c r="R74" s="34"/>
    </row>
    <row r="75" spans="1:18" ht="75" outlineLevel="2" x14ac:dyDescent="0.2">
      <c r="A75" s="3" t="s">
        <v>20</v>
      </c>
      <c r="B75" s="8" t="s">
        <v>1868</v>
      </c>
      <c r="C75" s="12" t="s">
        <v>14</v>
      </c>
      <c r="D75" s="2" t="s">
        <v>2696</v>
      </c>
      <c r="E75" s="3" t="s">
        <v>1949</v>
      </c>
      <c r="F75" s="3" t="s">
        <v>1506</v>
      </c>
      <c r="G75" s="2" t="s">
        <v>18</v>
      </c>
      <c r="H75" s="3" t="s">
        <v>23</v>
      </c>
      <c r="I75" s="5">
        <v>2000000</v>
      </c>
      <c r="J75" s="5">
        <v>1600000</v>
      </c>
      <c r="K75" s="3">
        <v>80</v>
      </c>
      <c r="L75" s="21">
        <v>800000</v>
      </c>
      <c r="M75" s="5"/>
      <c r="N75" s="5">
        <v>1600000</v>
      </c>
      <c r="O75" s="30">
        <f t="shared" si="3"/>
        <v>800000</v>
      </c>
      <c r="P75" s="22"/>
      <c r="Q75" s="2" t="s">
        <v>2697</v>
      </c>
      <c r="R75" s="34"/>
    </row>
    <row r="76" spans="1:18" ht="90" outlineLevel="2" x14ac:dyDescent="0.2">
      <c r="A76" s="3" t="s">
        <v>20</v>
      </c>
      <c r="B76" s="8" t="s">
        <v>1868</v>
      </c>
      <c r="C76" s="12" t="s">
        <v>14</v>
      </c>
      <c r="D76" s="2" t="s">
        <v>1873</v>
      </c>
      <c r="E76" s="3" t="s">
        <v>1949</v>
      </c>
      <c r="F76" s="3" t="s">
        <v>1506</v>
      </c>
      <c r="G76" s="2" t="s">
        <v>18</v>
      </c>
      <c r="H76" s="3" t="s">
        <v>23</v>
      </c>
      <c r="I76" s="5">
        <v>4000000</v>
      </c>
      <c r="J76" s="5">
        <v>3200000</v>
      </c>
      <c r="K76" s="3">
        <v>80</v>
      </c>
      <c r="L76" s="21">
        <v>1600000</v>
      </c>
      <c r="M76" s="5"/>
      <c r="N76" s="5">
        <v>3200000</v>
      </c>
      <c r="O76" s="30">
        <f t="shared" si="3"/>
        <v>1600000</v>
      </c>
      <c r="P76" s="22"/>
      <c r="Q76" s="2" t="s">
        <v>2698</v>
      </c>
      <c r="R76" s="34"/>
    </row>
    <row r="77" spans="1:18" ht="60" outlineLevel="2" x14ac:dyDescent="0.2">
      <c r="A77" s="3" t="s">
        <v>20</v>
      </c>
      <c r="B77" s="8" t="s">
        <v>1315</v>
      </c>
      <c r="C77" s="12">
        <v>427</v>
      </c>
      <c r="D77" s="2" t="s">
        <v>2699</v>
      </c>
      <c r="E77" s="3" t="s">
        <v>1949</v>
      </c>
      <c r="F77" s="3" t="s">
        <v>1506</v>
      </c>
      <c r="G77" s="2" t="s">
        <v>2700</v>
      </c>
      <c r="H77" s="3" t="s">
        <v>23</v>
      </c>
      <c r="I77" s="5">
        <v>200000</v>
      </c>
      <c r="J77" s="5">
        <v>200000</v>
      </c>
      <c r="K77" s="3">
        <v>100</v>
      </c>
      <c r="L77" s="21">
        <v>80000</v>
      </c>
      <c r="M77" s="5"/>
      <c r="N77" s="5">
        <v>200000</v>
      </c>
      <c r="O77" s="30">
        <f t="shared" si="3"/>
        <v>80000</v>
      </c>
      <c r="P77" s="22"/>
      <c r="Q77" s="2" t="s">
        <v>1972</v>
      </c>
      <c r="R77" s="34"/>
    </row>
    <row r="78" spans="1:18" outlineLevel="1" x14ac:dyDescent="0.2">
      <c r="A78" s="145"/>
      <c r="B78" s="145"/>
      <c r="C78" s="146" t="s">
        <v>1947</v>
      </c>
      <c r="D78" s="2"/>
      <c r="E78" s="145"/>
      <c r="F78" s="3"/>
      <c r="G78" s="147"/>
      <c r="H78" s="3"/>
      <c r="I78" s="27">
        <f>SUBTOTAL(9,I57:I77)</f>
        <v>72303220.439999998</v>
      </c>
      <c r="J78" s="27">
        <f>SUBTOTAL(9,J57:J77)</f>
        <v>66332144.566000007</v>
      </c>
      <c r="K78" s="27"/>
      <c r="L78" s="149">
        <f>SUBTOTAL(9,L57:L77)</f>
        <v>28921288.175999999</v>
      </c>
      <c r="M78" s="148">
        <f>SUBTOTAL(9,M57:M77)</f>
        <v>0</v>
      </c>
      <c r="N78" s="27">
        <f>SUBTOTAL(9,N57:N77)</f>
        <v>66332144.566000007</v>
      </c>
      <c r="O78" s="148">
        <f>SUBTOTAL(9,O57:O77)</f>
        <v>28921288.175999999</v>
      </c>
      <c r="P78" s="28"/>
      <c r="Q78" s="29"/>
    </row>
    <row r="79" spans="1:18" ht="30" outlineLevel="2" x14ac:dyDescent="0.2">
      <c r="A79" s="3" t="s">
        <v>20</v>
      </c>
      <c r="B79" s="3" t="s">
        <v>54</v>
      </c>
      <c r="C79" s="6" t="s">
        <v>42</v>
      </c>
      <c r="D79" s="2" t="s">
        <v>55</v>
      </c>
      <c r="E79" s="3" t="s">
        <v>29</v>
      </c>
      <c r="F79" s="3" t="s">
        <v>57</v>
      </c>
      <c r="G79" s="2" t="s">
        <v>56</v>
      </c>
      <c r="H79" s="3" t="s">
        <v>23</v>
      </c>
      <c r="I79" s="5">
        <v>87795168</v>
      </c>
      <c r="J79" s="5">
        <v>16734859.199999999</v>
      </c>
      <c r="K79" s="3">
        <v>19</v>
      </c>
      <c r="L79" s="5">
        <v>16734859.199999999</v>
      </c>
      <c r="M79" s="5">
        <v>16734859.199999999</v>
      </c>
      <c r="N79" s="5"/>
      <c r="O79" s="5">
        <f>L79-M79</f>
        <v>0</v>
      </c>
      <c r="P79" s="19"/>
      <c r="Q79" s="2" t="s">
        <v>1976</v>
      </c>
    </row>
    <row r="80" spans="1:18" ht="30" outlineLevel="2" x14ac:dyDescent="0.2">
      <c r="A80" s="3" t="s">
        <v>20</v>
      </c>
      <c r="B80" s="3" t="s">
        <v>54</v>
      </c>
      <c r="C80" s="6" t="s">
        <v>42</v>
      </c>
      <c r="D80" s="2" t="s">
        <v>58</v>
      </c>
      <c r="E80" s="3" t="s">
        <v>29</v>
      </c>
      <c r="F80" s="3" t="s">
        <v>57</v>
      </c>
      <c r="G80" s="2" t="s">
        <v>59</v>
      </c>
      <c r="H80" s="3" t="s">
        <v>23</v>
      </c>
      <c r="I80" s="5">
        <v>303347556</v>
      </c>
      <c r="J80" s="5">
        <v>59237222.399999999</v>
      </c>
      <c r="K80" s="3">
        <v>20</v>
      </c>
      <c r="L80" s="5">
        <v>59237222.399999999</v>
      </c>
      <c r="M80" s="5">
        <v>59237222.399999999</v>
      </c>
      <c r="N80" s="5"/>
      <c r="O80" s="5">
        <f t="shared" ref="O80:O143" si="4">L80-M80</f>
        <v>0</v>
      </c>
      <c r="P80" s="19"/>
      <c r="Q80" s="2" t="s">
        <v>1977</v>
      </c>
    </row>
    <row r="81" spans="1:18" ht="30" outlineLevel="2" x14ac:dyDescent="0.2">
      <c r="A81" s="3" t="s">
        <v>20</v>
      </c>
      <c r="B81" s="3" t="s">
        <v>116</v>
      </c>
      <c r="C81" s="6" t="s">
        <v>42</v>
      </c>
      <c r="D81" s="2" t="s">
        <v>125</v>
      </c>
      <c r="E81" s="3" t="s">
        <v>29</v>
      </c>
      <c r="F81" s="3" t="s">
        <v>126</v>
      </c>
      <c r="G81" s="2" t="s">
        <v>127</v>
      </c>
      <c r="H81" s="3" t="s">
        <v>23</v>
      </c>
      <c r="I81" s="5">
        <v>1169964.3600000001</v>
      </c>
      <c r="J81" s="5">
        <v>1169964.3600000001</v>
      </c>
      <c r="K81" s="3">
        <v>100</v>
      </c>
      <c r="L81" s="21">
        <f>I81*40%</f>
        <v>467985.74400000006</v>
      </c>
      <c r="M81" s="5">
        <v>467985.74</v>
      </c>
      <c r="N81" s="5">
        <v>701978.62</v>
      </c>
      <c r="O81" s="5">
        <f t="shared" si="4"/>
        <v>4.0000000735744834E-3</v>
      </c>
      <c r="P81" s="19"/>
      <c r="Q81" s="3" t="s">
        <v>2066</v>
      </c>
    </row>
    <row r="82" spans="1:18" ht="45" outlineLevel="2" x14ac:dyDescent="0.2">
      <c r="A82" s="3" t="s">
        <v>20</v>
      </c>
      <c r="B82" s="3" t="s">
        <v>174</v>
      </c>
      <c r="C82" s="6" t="s">
        <v>42</v>
      </c>
      <c r="D82" s="2" t="s">
        <v>178</v>
      </c>
      <c r="E82" s="3" t="s">
        <v>29</v>
      </c>
      <c r="F82" s="3" t="s">
        <v>179</v>
      </c>
      <c r="G82" s="2" t="s">
        <v>175</v>
      </c>
      <c r="H82" s="3" t="s">
        <v>23</v>
      </c>
      <c r="I82" s="5">
        <v>851052.49</v>
      </c>
      <c r="J82" s="5">
        <v>680841.99</v>
      </c>
      <c r="K82" s="3">
        <v>80</v>
      </c>
      <c r="L82" s="21">
        <f>I82*40%</f>
        <v>340420.99600000004</v>
      </c>
      <c r="M82" s="5">
        <v>340421</v>
      </c>
      <c r="N82" s="5">
        <v>340420.99</v>
      </c>
      <c r="O82" s="5">
        <v>0</v>
      </c>
      <c r="P82" s="19"/>
      <c r="Q82" s="2" t="s">
        <v>2067</v>
      </c>
    </row>
    <row r="83" spans="1:18" ht="30" outlineLevel="2" x14ac:dyDescent="0.2">
      <c r="A83" s="3" t="s">
        <v>20</v>
      </c>
      <c r="B83" s="3" t="s">
        <v>269</v>
      </c>
      <c r="C83" s="6" t="s">
        <v>42</v>
      </c>
      <c r="D83" s="2" t="s">
        <v>280</v>
      </c>
      <c r="E83" s="3" t="s">
        <v>29</v>
      </c>
      <c r="F83" s="3" t="s">
        <v>47</v>
      </c>
      <c r="G83" s="2" t="s">
        <v>141</v>
      </c>
      <c r="H83" s="3" t="s">
        <v>23</v>
      </c>
      <c r="I83" s="5">
        <v>5995132.2000000002</v>
      </c>
      <c r="J83" s="5">
        <v>4796105.76</v>
      </c>
      <c r="K83" s="3">
        <v>80</v>
      </c>
      <c r="L83" s="5">
        <v>4796105.76</v>
      </c>
      <c r="M83" s="5">
        <v>4796105.76</v>
      </c>
      <c r="N83" s="5"/>
      <c r="O83" s="5">
        <v>0</v>
      </c>
      <c r="P83" s="19"/>
      <c r="Q83" s="2" t="s">
        <v>1978</v>
      </c>
    </row>
    <row r="84" spans="1:18" ht="45" outlineLevel="2" x14ac:dyDescent="0.2">
      <c r="A84" s="3" t="s">
        <v>20</v>
      </c>
      <c r="B84" s="3" t="s">
        <v>322</v>
      </c>
      <c r="C84" s="6" t="s">
        <v>42</v>
      </c>
      <c r="D84" s="2" t="s">
        <v>325</v>
      </c>
      <c r="E84" s="3" t="s">
        <v>29</v>
      </c>
      <c r="F84" s="3" t="s">
        <v>327</v>
      </c>
      <c r="G84" s="2" t="s">
        <v>326</v>
      </c>
      <c r="H84" s="3" t="s">
        <v>23</v>
      </c>
      <c r="I84" s="5">
        <v>7664220</v>
      </c>
      <c r="J84" s="5">
        <v>6131376</v>
      </c>
      <c r="K84" s="3">
        <v>80</v>
      </c>
      <c r="L84" s="21">
        <f>I84*40%</f>
        <v>3065688</v>
      </c>
      <c r="M84" s="5">
        <v>3065688</v>
      </c>
      <c r="N84" s="5">
        <v>3065688</v>
      </c>
      <c r="O84" s="5">
        <f t="shared" si="4"/>
        <v>0</v>
      </c>
      <c r="P84" s="19"/>
      <c r="Q84" s="2"/>
    </row>
    <row r="85" spans="1:18" ht="30" outlineLevel="2" x14ac:dyDescent="0.2">
      <c r="A85" s="3" t="s">
        <v>20</v>
      </c>
      <c r="B85" s="2" t="s">
        <v>352</v>
      </c>
      <c r="C85" s="6" t="s">
        <v>42</v>
      </c>
      <c r="D85" s="2" t="s">
        <v>356</v>
      </c>
      <c r="E85" s="3" t="s">
        <v>29</v>
      </c>
      <c r="F85" s="3" t="s">
        <v>179</v>
      </c>
      <c r="G85" s="2" t="s">
        <v>357</v>
      </c>
      <c r="H85" s="3" t="s">
        <v>23</v>
      </c>
      <c r="I85" s="5">
        <v>24843276</v>
      </c>
      <c r="J85" s="5">
        <v>19874620.800000001</v>
      </c>
      <c r="K85" s="3">
        <v>80</v>
      </c>
      <c r="L85" s="21">
        <f>I85*40%</f>
        <v>9937310.4000000004</v>
      </c>
      <c r="M85" s="21">
        <v>9937310.4000000004</v>
      </c>
      <c r="N85" s="5">
        <v>19874620.800000001</v>
      </c>
      <c r="O85" s="5">
        <f t="shared" si="4"/>
        <v>0</v>
      </c>
      <c r="P85" s="19"/>
      <c r="Q85" s="3" t="s">
        <v>2557</v>
      </c>
    </row>
    <row r="86" spans="1:18" ht="45" outlineLevel="2" x14ac:dyDescent="0.2">
      <c r="A86" s="3" t="s">
        <v>20</v>
      </c>
      <c r="B86" s="3" t="s">
        <v>359</v>
      </c>
      <c r="C86" s="6">
        <v>429</v>
      </c>
      <c r="D86" s="2" t="s">
        <v>368</v>
      </c>
      <c r="E86" s="3" t="s">
        <v>29</v>
      </c>
      <c r="F86" s="3" t="s">
        <v>327</v>
      </c>
      <c r="G86" s="2" t="s">
        <v>360</v>
      </c>
      <c r="H86" s="3" t="s">
        <v>23</v>
      </c>
      <c r="I86" s="5">
        <v>12067510.32</v>
      </c>
      <c r="J86" s="5">
        <v>5895973.4400000004</v>
      </c>
      <c r="K86" s="3">
        <v>49</v>
      </c>
      <c r="L86" s="5">
        <v>2947986.72</v>
      </c>
      <c r="M86" s="5">
        <v>2947986.72</v>
      </c>
      <c r="N86" s="5">
        <v>2947986.72</v>
      </c>
      <c r="O86" s="5">
        <f t="shared" si="4"/>
        <v>0</v>
      </c>
      <c r="P86" s="25"/>
      <c r="Q86" s="2" t="s">
        <v>2011</v>
      </c>
    </row>
    <row r="87" spans="1:18" ht="30" outlineLevel="2" x14ac:dyDescent="0.2">
      <c r="A87" s="3" t="s">
        <v>20</v>
      </c>
      <c r="B87" s="3" t="s">
        <v>373</v>
      </c>
      <c r="C87" s="6" t="s">
        <v>42</v>
      </c>
      <c r="D87" s="2" t="s">
        <v>376</v>
      </c>
      <c r="E87" s="3" t="s">
        <v>29</v>
      </c>
      <c r="F87" s="3" t="s">
        <v>126</v>
      </c>
      <c r="G87" s="2" t="s">
        <v>375</v>
      </c>
      <c r="H87" s="3" t="s">
        <v>23</v>
      </c>
      <c r="I87" s="5">
        <v>214704</v>
      </c>
      <c r="J87" s="5">
        <v>214704</v>
      </c>
      <c r="K87" s="3">
        <v>100</v>
      </c>
      <c r="L87" s="5">
        <v>214704</v>
      </c>
      <c r="M87" s="5">
        <v>214704</v>
      </c>
      <c r="N87" s="5"/>
      <c r="O87" s="5">
        <f>L87-M87</f>
        <v>0</v>
      </c>
      <c r="P87" s="25"/>
      <c r="Q87" s="2" t="s">
        <v>2033</v>
      </c>
    </row>
    <row r="88" spans="1:18" ht="30" outlineLevel="2" x14ac:dyDescent="0.2">
      <c r="A88" s="3" t="s">
        <v>20</v>
      </c>
      <c r="B88" s="3" t="s">
        <v>381</v>
      </c>
      <c r="C88" s="6" t="s">
        <v>42</v>
      </c>
      <c r="D88" s="2" t="s">
        <v>389</v>
      </c>
      <c r="E88" s="3" t="s">
        <v>29</v>
      </c>
      <c r="F88" s="3" t="s">
        <v>327</v>
      </c>
      <c r="G88" s="2" t="s">
        <v>203</v>
      </c>
      <c r="H88" s="3" t="s">
        <v>23</v>
      </c>
      <c r="I88" s="5">
        <v>39323856.359999999</v>
      </c>
      <c r="J88" s="5">
        <v>19301240.16</v>
      </c>
      <c r="K88" s="3">
        <v>49</v>
      </c>
      <c r="L88" s="5">
        <v>9650620.0800000001</v>
      </c>
      <c r="M88" s="5">
        <v>9650620.0800000001</v>
      </c>
      <c r="N88" s="5">
        <v>9650620.0800000001</v>
      </c>
      <c r="O88" s="5">
        <f t="shared" si="4"/>
        <v>0</v>
      </c>
      <c r="P88" s="19"/>
      <c r="Q88" s="2" t="s">
        <v>2068</v>
      </c>
    </row>
    <row r="89" spans="1:18" ht="45" outlineLevel="2" x14ac:dyDescent="0.2">
      <c r="A89" s="3" t="s">
        <v>20</v>
      </c>
      <c r="B89" s="3" t="s">
        <v>381</v>
      </c>
      <c r="C89" s="6" t="s">
        <v>42</v>
      </c>
      <c r="D89" s="2" t="s">
        <v>390</v>
      </c>
      <c r="E89" s="3" t="s">
        <v>29</v>
      </c>
      <c r="F89" s="3" t="s">
        <v>179</v>
      </c>
      <c r="G89" s="2" t="s">
        <v>203</v>
      </c>
      <c r="H89" s="3" t="s">
        <v>23</v>
      </c>
      <c r="I89" s="5">
        <v>13752517.75</v>
      </c>
      <c r="J89" s="5">
        <v>11002014.199999999</v>
      </c>
      <c r="K89" s="3">
        <v>80</v>
      </c>
      <c r="L89" s="5">
        <v>6882900.3899999997</v>
      </c>
      <c r="M89" s="5">
        <v>6882900.3899999997</v>
      </c>
      <c r="N89" s="5">
        <v>4119113.81</v>
      </c>
      <c r="O89" s="5">
        <f t="shared" si="4"/>
        <v>0</v>
      </c>
      <c r="P89" s="19"/>
      <c r="Q89" s="2" t="s">
        <v>2068</v>
      </c>
    </row>
    <row r="90" spans="1:18" ht="45" outlineLevel="2" x14ac:dyDescent="0.2">
      <c r="A90" s="3" t="s">
        <v>20</v>
      </c>
      <c r="B90" s="3" t="s">
        <v>381</v>
      </c>
      <c r="C90" s="6" t="s">
        <v>42</v>
      </c>
      <c r="D90" s="2" t="s">
        <v>392</v>
      </c>
      <c r="E90" s="3" t="s">
        <v>29</v>
      </c>
      <c r="F90" s="3" t="s">
        <v>179</v>
      </c>
      <c r="G90" s="2" t="s">
        <v>393</v>
      </c>
      <c r="H90" s="3" t="s">
        <v>23</v>
      </c>
      <c r="I90" s="5">
        <v>9843900.2599999998</v>
      </c>
      <c r="J90" s="5">
        <v>7875120.21</v>
      </c>
      <c r="K90" s="3">
        <v>80</v>
      </c>
      <c r="L90" s="5">
        <v>3937560.1</v>
      </c>
      <c r="M90" s="5">
        <v>3937560.1</v>
      </c>
      <c r="N90" s="5">
        <v>3937560.11</v>
      </c>
      <c r="O90" s="5">
        <f t="shared" si="4"/>
        <v>0</v>
      </c>
      <c r="P90" s="19"/>
      <c r="Q90" s="2" t="s">
        <v>2068</v>
      </c>
    </row>
    <row r="91" spans="1:18" ht="30" outlineLevel="2" x14ac:dyDescent="0.2">
      <c r="A91" s="3" t="s">
        <v>20</v>
      </c>
      <c r="B91" s="3" t="s">
        <v>489</v>
      </c>
      <c r="C91" s="6" t="s">
        <v>42</v>
      </c>
      <c r="D91" s="2" t="s">
        <v>497</v>
      </c>
      <c r="E91" s="3" t="s">
        <v>29</v>
      </c>
      <c r="F91" s="3" t="s">
        <v>126</v>
      </c>
      <c r="G91" s="2" t="s">
        <v>498</v>
      </c>
      <c r="H91" s="3" t="s">
        <v>23</v>
      </c>
      <c r="I91" s="5">
        <v>101787.12</v>
      </c>
      <c r="J91" s="5">
        <v>101787.12</v>
      </c>
      <c r="K91" s="3">
        <v>100</v>
      </c>
      <c r="L91" s="5">
        <v>101787.12</v>
      </c>
      <c r="M91" s="5">
        <v>101787.12</v>
      </c>
      <c r="N91" s="5"/>
      <c r="O91" s="5">
        <f t="shared" si="4"/>
        <v>0</v>
      </c>
      <c r="P91" s="19"/>
      <c r="Q91" s="2" t="s">
        <v>2069</v>
      </c>
    </row>
    <row r="92" spans="1:18" ht="30" outlineLevel="2" x14ac:dyDescent="0.2">
      <c r="A92" s="3" t="s">
        <v>20</v>
      </c>
      <c r="B92" s="2" t="s">
        <v>569</v>
      </c>
      <c r="C92" s="6" t="s">
        <v>42</v>
      </c>
      <c r="D92" s="2" t="s">
        <v>570</v>
      </c>
      <c r="E92" s="3" t="s">
        <v>29</v>
      </c>
      <c r="F92" s="3" t="s">
        <v>572</v>
      </c>
      <c r="G92" s="2" t="s">
        <v>571</v>
      </c>
      <c r="H92" s="3" t="s">
        <v>23</v>
      </c>
      <c r="I92" s="5">
        <v>57678561.189999998</v>
      </c>
      <c r="J92" s="5">
        <v>21481768.57</v>
      </c>
      <c r="K92" s="3">
        <v>37</v>
      </c>
      <c r="L92" s="5">
        <v>10740884.279999999</v>
      </c>
      <c r="M92" s="5">
        <v>10740884.279999999</v>
      </c>
      <c r="N92" s="5">
        <v>10740884.289999999</v>
      </c>
      <c r="O92" s="5">
        <f t="shared" si="4"/>
        <v>0</v>
      </c>
      <c r="P92" s="19"/>
      <c r="Q92" s="2" t="s">
        <v>1975</v>
      </c>
    </row>
    <row r="93" spans="1:18" ht="30.75" customHeight="1" outlineLevel="2" x14ac:dyDescent="0.2">
      <c r="A93" s="3" t="s">
        <v>20</v>
      </c>
      <c r="B93" s="3" t="s">
        <v>585</v>
      </c>
      <c r="C93" s="6" t="s">
        <v>42</v>
      </c>
      <c r="D93" s="2" t="s">
        <v>594</v>
      </c>
      <c r="E93" s="3" t="s">
        <v>29</v>
      </c>
      <c r="F93" s="3" t="s">
        <v>327</v>
      </c>
      <c r="G93" s="2" t="s">
        <v>117</v>
      </c>
      <c r="H93" s="3" t="s">
        <v>23</v>
      </c>
      <c r="I93" s="5">
        <v>23341308</v>
      </c>
      <c r="J93" s="5">
        <v>14815692</v>
      </c>
      <c r="K93" s="3">
        <v>51</v>
      </c>
      <c r="L93" s="5">
        <v>5926276.7999999998</v>
      </c>
      <c r="M93" s="5">
        <v>5926276.7999999998</v>
      </c>
      <c r="N93" s="5">
        <v>8889415.1999999993</v>
      </c>
      <c r="O93" s="5">
        <f t="shared" si="4"/>
        <v>0</v>
      </c>
      <c r="P93" s="19"/>
      <c r="Q93" s="2" t="s">
        <v>2904</v>
      </c>
    </row>
    <row r="94" spans="1:18" ht="27" customHeight="1" outlineLevel="2" x14ac:dyDescent="0.2">
      <c r="A94" s="3" t="s">
        <v>20</v>
      </c>
      <c r="B94" s="3" t="s">
        <v>610</v>
      </c>
      <c r="C94" s="6" t="s">
        <v>42</v>
      </c>
      <c r="D94" s="2" t="s">
        <v>612</v>
      </c>
      <c r="E94" s="3" t="s">
        <v>29</v>
      </c>
      <c r="F94" s="3" t="s">
        <v>327</v>
      </c>
      <c r="G94" s="2" t="s">
        <v>611</v>
      </c>
      <c r="H94" s="3" t="s">
        <v>23</v>
      </c>
      <c r="I94" s="5">
        <v>35722500</v>
      </c>
      <c r="J94" s="5">
        <v>26736000</v>
      </c>
      <c r="K94" s="3"/>
      <c r="L94" s="5">
        <v>26736000</v>
      </c>
      <c r="M94" s="5">
        <v>26736000</v>
      </c>
      <c r="N94" s="5">
        <v>0</v>
      </c>
      <c r="O94" s="5">
        <f t="shared" si="4"/>
        <v>0</v>
      </c>
      <c r="P94" s="25"/>
      <c r="Q94" s="3" t="s">
        <v>2070</v>
      </c>
    </row>
    <row r="95" spans="1:18" ht="30" outlineLevel="2" x14ac:dyDescent="0.2">
      <c r="A95" s="3" t="s">
        <v>20</v>
      </c>
      <c r="B95" s="2" t="s">
        <v>610</v>
      </c>
      <c r="C95" s="6" t="s">
        <v>42</v>
      </c>
      <c r="D95" s="2" t="s">
        <v>615</v>
      </c>
      <c r="E95" s="3" t="s">
        <v>29</v>
      </c>
      <c r="F95" s="3" t="s">
        <v>179</v>
      </c>
      <c r="G95" s="2" t="s">
        <v>117</v>
      </c>
      <c r="H95" s="3" t="s">
        <v>23</v>
      </c>
      <c r="I95" s="21">
        <v>38025000</v>
      </c>
      <c r="J95" s="35">
        <v>30420000</v>
      </c>
      <c r="K95" s="3">
        <v>80</v>
      </c>
      <c r="L95" s="35">
        <v>13368000</v>
      </c>
      <c r="M95" s="35">
        <v>13368000</v>
      </c>
      <c r="N95" s="21">
        <v>17052000</v>
      </c>
      <c r="O95" s="5">
        <f t="shared" si="4"/>
        <v>0</v>
      </c>
      <c r="P95" s="19"/>
      <c r="Q95" s="5" t="s">
        <v>2071</v>
      </c>
      <c r="R95" s="20"/>
    </row>
    <row r="96" spans="1:18" ht="30" outlineLevel="2" x14ac:dyDescent="0.2">
      <c r="A96" s="3" t="s">
        <v>20</v>
      </c>
      <c r="B96" s="3" t="s">
        <v>694</v>
      </c>
      <c r="C96" s="6" t="s">
        <v>42</v>
      </c>
      <c r="D96" s="2" t="s">
        <v>697</v>
      </c>
      <c r="E96" s="3" t="s">
        <v>29</v>
      </c>
      <c r="F96" s="3" t="s">
        <v>699</v>
      </c>
      <c r="G96" s="2" t="s">
        <v>698</v>
      </c>
      <c r="H96" s="3" t="s">
        <v>23</v>
      </c>
      <c r="I96" s="5">
        <v>8810778.6899999995</v>
      </c>
      <c r="J96" s="5">
        <v>3236734.35</v>
      </c>
      <c r="K96" s="3">
        <v>37</v>
      </c>
      <c r="L96" s="5">
        <v>1618367.18</v>
      </c>
      <c r="M96" s="5">
        <v>1618367.18</v>
      </c>
      <c r="N96" s="5">
        <v>1618367.17</v>
      </c>
      <c r="O96" s="5">
        <f t="shared" si="4"/>
        <v>0</v>
      </c>
      <c r="P96" s="19"/>
      <c r="Q96" s="2" t="s">
        <v>2072</v>
      </c>
    </row>
    <row r="97" spans="1:17" ht="28.5" customHeight="1" outlineLevel="2" x14ac:dyDescent="0.2">
      <c r="A97" s="3" t="s">
        <v>20</v>
      </c>
      <c r="B97" s="2" t="s">
        <v>2796</v>
      </c>
      <c r="C97" s="6" t="s">
        <v>42</v>
      </c>
      <c r="D97" s="2" t="s">
        <v>733</v>
      </c>
      <c r="E97" s="3" t="s">
        <v>29</v>
      </c>
      <c r="F97" s="3" t="s">
        <v>179</v>
      </c>
      <c r="G97" s="2" t="s">
        <v>734</v>
      </c>
      <c r="H97" s="3" t="s">
        <v>23</v>
      </c>
      <c r="I97" s="5">
        <v>3440940.48</v>
      </c>
      <c r="J97" s="5">
        <v>2752752.38</v>
      </c>
      <c r="K97" s="3">
        <v>80</v>
      </c>
      <c r="L97" s="21">
        <f>I97*40%</f>
        <v>1376376.192</v>
      </c>
      <c r="M97" s="21"/>
      <c r="N97" s="21">
        <v>1376376.192</v>
      </c>
      <c r="O97" s="5">
        <f t="shared" si="4"/>
        <v>1376376.192</v>
      </c>
      <c r="P97" s="36" t="s">
        <v>2793</v>
      </c>
      <c r="Q97" s="2" t="s">
        <v>2797</v>
      </c>
    </row>
    <row r="98" spans="1:17" ht="45" outlineLevel="2" x14ac:dyDescent="0.2">
      <c r="A98" s="3" t="s">
        <v>20</v>
      </c>
      <c r="B98" s="3" t="s">
        <v>751</v>
      </c>
      <c r="C98" s="6" t="s">
        <v>42</v>
      </c>
      <c r="D98" s="2" t="s">
        <v>752</v>
      </c>
      <c r="E98" s="3" t="s">
        <v>29</v>
      </c>
      <c r="F98" s="3" t="s">
        <v>572</v>
      </c>
      <c r="G98" s="2" t="s">
        <v>753</v>
      </c>
      <c r="H98" s="3" t="s">
        <v>23</v>
      </c>
      <c r="I98" s="5">
        <v>34924248</v>
      </c>
      <c r="J98" s="5">
        <v>12532694.4</v>
      </c>
      <c r="K98" s="3">
        <v>36</v>
      </c>
      <c r="L98" s="5">
        <v>12532694.4</v>
      </c>
      <c r="M98" s="5">
        <v>12532694.4</v>
      </c>
      <c r="N98" s="5"/>
      <c r="O98" s="5">
        <f t="shared" si="4"/>
        <v>0</v>
      </c>
      <c r="P98" s="19"/>
      <c r="Q98" s="2" t="s">
        <v>1979</v>
      </c>
    </row>
    <row r="99" spans="1:17" ht="30" outlineLevel="2" x14ac:dyDescent="0.2">
      <c r="A99" s="3" t="s">
        <v>20</v>
      </c>
      <c r="B99" s="2" t="s">
        <v>793</v>
      </c>
      <c r="C99" s="6" t="s">
        <v>42</v>
      </c>
      <c r="D99" s="2" t="s">
        <v>794</v>
      </c>
      <c r="E99" s="3" t="s">
        <v>29</v>
      </c>
      <c r="F99" s="3" t="s">
        <v>572</v>
      </c>
      <c r="G99" s="2" t="s">
        <v>795</v>
      </c>
      <c r="H99" s="3" t="s">
        <v>23</v>
      </c>
      <c r="I99" s="5">
        <v>87398441.400000006</v>
      </c>
      <c r="J99" s="5">
        <v>32303458.940000001</v>
      </c>
      <c r="K99" s="3">
        <v>37</v>
      </c>
      <c r="L99" s="5">
        <v>16151729.470000001</v>
      </c>
      <c r="M99" s="5">
        <v>16151729.470000001</v>
      </c>
      <c r="N99" s="5">
        <v>16151729.470000001</v>
      </c>
      <c r="O99" s="5">
        <f t="shared" si="4"/>
        <v>0</v>
      </c>
      <c r="P99" s="19"/>
      <c r="Q99" s="2" t="s">
        <v>1980</v>
      </c>
    </row>
    <row r="100" spans="1:17" ht="30" outlineLevel="2" x14ac:dyDescent="0.2">
      <c r="A100" s="3" t="s">
        <v>20</v>
      </c>
      <c r="B100" s="3" t="s">
        <v>818</v>
      </c>
      <c r="C100" s="6" t="s">
        <v>42</v>
      </c>
      <c r="D100" s="2" t="s">
        <v>826</v>
      </c>
      <c r="E100" s="3" t="s">
        <v>29</v>
      </c>
      <c r="F100" s="3" t="s">
        <v>47</v>
      </c>
      <c r="G100" s="2" t="s">
        <v>821</v>
      </c>
      <c r="H100" s="3" t="s">
        <v>23</v>
      </c>
      <c r="I100" s="5">
        <v>5090638.32</v>
      </c>
      <c r="J100" s="5">
        <v>4072510.66</v>
      </c>
      <c r="K100" s="3">
        <v>80</v>
      </c>
      <c r="L100" s="21">
        <f>I100*40%</f>
        <v>2036255.3280000002</v>
      </c>
      <c r="M100" s="5"/>
      <c r="N100" s="5">
        <v>4072510.66</v>
      </c>
      <c r="O100" s="5">
        <f t="shared" si="4"/>
        <v>2036255.3280000002</v>
      </c>
      <c r="P100" s="25">
        <v>45541</v>
      </c>
      <c r="Q100" s="2" t="s">
        <v>2073</v>
      </c>
    </row>
    <row r="101" spans="1:17" ht="30" outlineLevel="2" x14ac:dyDescent="0.2">
      <c r="A101" s="3" t="s">
        <v>20</v>
      </c>
      <c r="B101" s="2" t="s">
        <v>844</v>
      </c>
      <c r="C101" s="6" t="s">
        <v>42</v>
      </c>
      <c r="D101" s="2" t="s">
        <v>851</v>
      </c>
      <c r="E101" s="3" t="s">
        <v>29</v>
      </c>
      <c r="F101" s="3" t="s">
        <v>852</v>
      </c>
      <c r="G101" s="2" t="s">
        <v>850</v>
      </c>
      <c r="H101" s="3" t="s">
        <v>23</v>
      </c>
      <c r="I101" s="5">
        <v>38333637</v>
      </c>
      <c r="J101" s="5">
        <v>34500273.299999997</v>
      </c>
      <c r="K101" s="3">
        <v>68</v>
      </c>
      <c r="L101" s="21">
        <f>I101*0.4</f>
        <v>15333454.800000001</v>
      </c>
      <c r="M101" s="5">
        <v>15333454.800000001</v>
      </c>
      <c r="N101" s="5">
        <f>J101-M101</f>
        <v>19166818.499999996</v>
      </c>
      <c r="O101" s="5">
        <f t="shared" si="4"/>
        <v>0</v>
      </c>
      <c r="P101" s="19"/>
      <c r="Q101" s="8" t="s">
        <v>2558</v>
      </c>
    </row>
    <row r="102" spans="1:17" ht="30" x14ac:dyDescent="0.2">
      <c r="A102" s="3" t="s">
        <v>20</v>
      </c>
      <c r="B102" s="2" t="s">
        <v>865</v>
      </c>
      <c r="C102" s="6" t="s">
        <v>42</v>
      </c>
      <c r="D102" s="2" t="s">
        <v>867</v>
      </c>
      <c r="E102" s="3" t="s">
        <v>29</v>
      </c>
      <c r="F102" s="3" t="s">
        <v>868</v>
      </c>
      <c r="G102" s="2" t="s">
        <v>866</v>
      </c>
      <c r="H102" s="3" t="s">
        <v>23</v>
      </c>
      <c r="I102" s="5">
        <v>164593239.36000001</v>
      </c>
      <c r="J102" s="5">
        <v>90806548.819999993</v>
      </c>
      <c r="K102" s="3">
        <v>55</v>
      </c>
      <c r="L102" s="5">
        <v>40358466.140000001</v>
      </c>
      <c r="M102" s="5">
        <v>40358466.140000001</v>
      </c>
      <c r="N102" s="5">
        <v>50448082.68</v>
      </c>
      <c r="O102" s="5">
        <f t="shared" si="4"/>
        <v>0</v>
      </c>
      <c r="P102" s="19"/>
      <c r="Q102" s="2" t="s">
        <v>2075</v>
      </c>
    </row>
    <row r="103" spans="1:17" ht="45" x14ac:dyDescent="0.2">
      <c r="A103" s="3" t="s">
        <v>20</v>
      </c>
      <c r="B103" s="2" t="s">
        <v>893</v>
      </c>
      <c r="C103" s="6" t="s">
        <v>42</v>
      </c>
      <c r="D103" s="2" t="s">
        <v>894</v>
      </c>
      <c r="E103" s="3" t="s">
        <v>29</v>
      </c>
      <c r="F103" s="3" t="s">
        <v>868</v>
      </c>
      <c r="G103" s="2" t="s">
        <v>464</v>
      </c>
      <c r="H103" s="3" t="s">
        <v>23</v>
      </c>
      <c r="I103" s="5">
        <v>64794325.289999999</v>
      </c>
      <c r="J103" s="5">
        <v>29342726.699999999</v>
      </c>
      <c r="K103" s="3">
        <v>45</v>
      </c>
      <c r="L103" s="5">
        <v>13041211.869999999</v>
      </c>
      <c r="M103" s="5">
        <v>13041211.869999999</v>
      </c>
      <c r="N103" s="5">
        <v>16301514.83</v>
      </c>
      <c r="O103" s="5">
        <f t="shared" si="4"/>
        <v>0</v>
      </c>
      <c r="P103" s="19"/>
      <c r="Q103" s="2" t="s">
        <v>2075</v>
      </c>
    </row>
    <row r="104" spans="1:17" ht="45" x14ac:dyDescent="0.2">
      <c r="A104" s="3" t="s">
        <v>20</v>
      </c>
      <c r="B104" s="2" t="s">
        <v>905</v>
      </c>
      <c r="C104" s="6" t="s">
        <v>42</v>
      </c>
      <c r="D104" s="2" t="s">
        <v>916</v>
      </c>
      <c r="E104" s="3" t="s">
        <v>29</v>
      </c>
      <c r="F104" s="3" t="s">
        <v>179</v>
      </c>
      <c r="G104" s="2" t="s">
        <v>910</v>
      </c>
      <c r="H104" s="3" t="s">
        <v>23</v>
      </c>
      <c r="I104" s="5">
        <v>730504476</v>
      </c>
      <c r="J104" s="5">
        <v>584403580.79999995</v>
      </c>
      <c r="K104" s="3">
        <v>80</v>
      </c>
      <c r="L104" s="5">
        <v>292201790.39999998</v>
      </c>
      <c r="M104" s="5">
        <v>292201790.39999998</v>
      </c>
      <c r="N104" s="5">
        <v>292201790.39999998</v>
      </c>
      <c r="O104" s="5">
        <f t="shared" si="4"/>
        <v>0</v>
      </c>
      <c r="P104" s="19" t="s">
        <v>1981</v>
      </c>
      <c r="Q104" s="2" t="s">
        <v>1982</v>
      </c>
    </row>
    <row r="105" spans="1:17" ht="30" x14ac:dyDescent="0.2">
      <c r="A105" s="3" t="s">
        <v>20</v>
      </c>
      <c r="B105" s="3" t="s">
        <v>924</v>
      </c>
      <c r="C105" s="6" t="s">
        <v>42</v>
      </c>
      <c r="D105" s="2" t="s">
        <v>932</v>
      </c>
      <c r="E105" s="3" t="s">
        <v>29</v>
      </c>
      <c r="F105" s="3" t="s">
        <v>126</v>
      </c>
      <c r="G105" s="2" t="s">
        <v>933</v>
      </c>
      <c r="H105" s="3" t="s">
        <v>23</v>
      </c>
      <c r="I105" s="5">
        <v>52060.32</v>
      </c>
      <c r="J105" s="5">
        <v>52060.32</v>
      </c>
      <c r="K105" s="3">
        <v>100</v>
      </c>
      <c r="L105" s="5">
        <v>52060.32</v>
      </c>
      <c r="M105" s="5">
        <v>52060.32</v>
      </c>
      <c r="N105" s="5"/>
      <c r="O105" s="5">
        <f t="shared" si="4"/>
        <v>0</v>
      </c>
      <c r="P105" s="19"/>
      <c r="Q105" s="3" t="s">
        <v>2066</v>
      </c>
    </row>
    <row r="106" spans="1:17" ht="30" x14ac:dyDescent="0.2">
      <c r="A106" s="3" t="s">
        <v>20</v>
      </c>
      <c r="B106" s="3" t="s">
        <v>955</v>
      </c>
      <c r="C106" s="6" t="s">
        <v>42</v>
      </c>
      <c r="D106" s="2" t="s">
        <v>964</v>
      </c>
      <c r="E106" s="3" t="s">
        <v>29</v>
      </c>
      <c r="F106" s="3" t="s">
        <v>179</v>
      </c>
      <c r="G106" s="2" t="s">
        <v>956</v>
      </c>
      <c r="H106" s="3" t="s">
        <v>23</v>
      </c>
      <c r="I106" s="5">
        <v>1502064</v>
      </c>
      <c r="J106" s="5">
        <v>1201651.2</v>
      </c>
      <c r="K106" s="3">
        <v>80</v>
      </c>
      <c r="L106" s="21">
        <f>I106*40%</f>
        <v>600825.59999999998</v>
      </c>
      <c r="M106" s="5">
        <v>600825.59999999998</v>
      </c>
      <c r="N106" s="5">
        <v>600825.59999999998</v>
      </c>
      <c r="O106" s="5">
        <f t="shared" si="4"/>
        <v>0</v>
      </c>
      <c r="P106" s="19" t="s">
        <v>1981</v>
      </c>
      <c r="Q106" s="2" t="s">
        <v>1975</v>
      </c>
    </row>
    <row r="107" spans="1:17" ht="60" x14ac:dyDescent="0.2">
      <c r="A107" s="3" t="s">
        <v>20</v>
      </c>
      <c r="B107" s="2" t="s">
        <v>983</v>
      </c>
      <c r="C107" s="6" t="s">
        <v>42</v>
      </c>
      <c r="D107" s="2" t="s">
        <v>987</v>
      </c>
      <c r="E107" s="3" t="s">
        <v>29</v>
      </c>
      <c r="F107" s="3" t="s">
        <v>662</v>
      </c>
      <c r="G107" s="2" t="s">
        <v>988</v>
      </c>
      <c r="H107" s="3" t="s">
        <v>23</v>
      </c>
      <c r="I107" s="5">
        <v>1136539989.9000001</v>
      </c>
      <c r="J107" s="5">
        <v>568269994.95000005</v>
      </c>
      <c r="K107" s="3">
        <v>50</v>
      </c>
      <c r="L107" s="5">
        <f>I107-J107</f>
        <v>568269994.95000005</v>
      </c>
      <c r="M107" s="5"/>
      <c r="N107" s="5">
        <v>568269994.95000005</v>
      </c>
      <c r="O107" s="5">
        <f t="shared" si="4"/>
        <v>568269994.95000005</v>
      </c>
      <c r="P107" s="5" t="s">
        <v>2905</v>
      </c>
      <c r="Q107" s="2" t="s">
        <v>2906</v>
      </c>
    </row>
    <row r="108" spans="1:17" ht="45" x14ac:dyDescent="0.2">
      <c r="A108" s="3" t="s">
        <v>20</v>
      </c>
      <c r="B108" s="3" t="s">
        <v>1021</v>
      </c>
      <c r="C108" s="6" t="s">
        <v>42</v>
      </c>
      <c r="D108" s="2" t="s">
        <v>1025</v>
      </c>
      <c r="E108" s="3" t="s">
        <v>29</v>
      </c>
      <c r="F108" s="3" t="s">
        <v>179</v>
      </c>
      <c r="G108" s="2" t="s">
        <v>692</v>
      </c>
      <c r="H108" s="3" t="s">
        <v>23</v>
      </c>
      <c r="I108" s="5">
        <v>8398944</v>
      </c>
      <c r="J108" s="5">
        <v>6719155.2000000002</v>
      </c>
      <c r="K108" s="3">
        <v>80</v>
      </c>
      <c r="L108" s="21">
        <f>I108*40%</f>
        <v>3359577.6</v>
      </c>
      <c r="M108" s="5"/>
      <c r="N108" s="5">
        <v>6719155.2000000002</v>
      </c>
      <c r="O108" s="5">
        <f t="shared" si="4"/>
        <v>3359577.6</v>
      </c>
      <c r="P108" s="19"/>
      <c r="Q108" s="2" t="s">
        <v>2907</v>
      </c>
    </row>
    <row r="109" spans="1:17" ht="45" x14ac:dyDescent="0.2">
      <c r="A109" s="3" t="s">
        <v>20</v>
      </c>
      <c r="B109" s="2" t="s">
        <v>1030</v>
      </c>
      <c r="C109" s="6" t="s">
        <v>42</v>
      </c>
      <c r="D109" s="2" t="s">
        <v>1031</v>
      </c>
      <c r="E109" s="3" t="s">
        <v>29</v>
      </c>
      <c r="F109" s="3" t="s">
        <v>1033</v>
      </c>
      <c r="G109" s="2" t="s">
        <v>1032</v>
      </c>
      <c r="H109" s="3" t="s">
        <v>23</v>
      </c>
      <c r="I109" s="5">
        <v>231332776.44</v>
      </c>
      <c r="J109" s="5">
        <v>76590307</v>
      </c>
      <c r="K109" s="3">
        <v>33</v>
      </c>
      <c r="L109" s="5">
        <v>38327113.439999998</v>
      </c>
      <c r="M109" s="5">
        <v>38327113.439999998</v>
      </c>
      <c r="N109" s="5">
        <v>38263193.560000002</v>
      </c>
      <c r="O109" s="5">
        <f>L109-M109</f>
        <v>0</v>
      </c>
      <c r="P109" s="19" t="s">
        <v>1983</v>
      </c>
      <c r="Q109" s="2" t="s">
        <v>1984</v>
      </c>
    </row>
    <row r="110" spans="1:17" ht="45" x14ac:dyDescent="0.2">
      <c r="A110" s="3" t="s">
        <v>20</v>
      </c>
      <c r="B110" s="3" t="s">
        <v>1049</v>
      </c>
      <c r="C110" s="6" t="s">
        <v>42</v>
      </c>
      <c r="D110" s="2" t="s">
        <v>2076</v>
      </c>
      <c r="E110" s="3" t="s">
        <v>26</v>
      </c>
      <c r="F110" s="3" t="s">
        <v>1052</v>
      </c>
      <c r="G110" s="2" t="s">
        <v>1050</v>
      </c>
      <c r="H110" s="3" t="s">
        <v>23</v>
      </c>
      <c r="I110" s="5">
        <v>155431.79999999999</v>
      </c>
      <c r="J110" s="5">
        <v>155431.79999999999</v>
      </c>
      <c r="K110" s="3">
        <v>100</v>
      </c>
      <c r="L110" s="5">
        <v>155431.79999999999</v>
      </c>
      <c r="M110" s="5">
        <v>155431.79999999999</v>
      </c>
      <c r="N110" s="5"/>
      <c r="O110" s="5">
        <f t="shared" si="4"/>
        <v>0</v>
      </c>
      <c r="P110" s="19"/>
      <c r="Q110" s="2" t="s">
        <v>2077</v>
      </c>
    </row>
    <row r="111" spans="1:17" ht="30" x14ac:dyDescent="0.2">
      <c r="A111" s="3" t="s">
        <v>20</v>
      </c>
      <c r="B111" s="3" t="s">
        <v>1154</v>
      </c>
      <c r="C111" s="6" t="s">
        <v>42</v>
      </c>
      <c r="D111" s="2" t="s">
        <v>1161</v>
      </c>
      <c r="E111" s="3" t="s">
        <v>29</v>
      </c>
      <c r="F111" s="3" t="s">
        <v>662</v>
      </c>
      <c r="G111" s="2" t="s">
        <v>1155</v>
      </c>
      <c r="H111" s="3" t="s">
        <v>23</v>
      </c>
      <c r="I111" s="5">
        <v>6808680</v>
      </c>
      <c r="J111" s="5">
        <v>3404340</v>
      </c>
      <c r="K111" s="3">
        <v>50</v>
      </c>
      <c r="L111" s="21">
        <f>I111*40%</f>
        <v>2723472</v>
      </c>
      <c r="M111" s="5"/>
      <c r="N111" s="5">
        <v>3404340</v>
      </c>
      <c r="O111" s="5">
        <f t="shared" si="4"/>
        <v>2723472</v>
      </c>
      <c r="P111" s="19"/>
      <c r="Q111" s="2" t="s">
        <v>2012</v>
      </c>
    </row>
    <row r="112" spans="1:17" ht="45" x14ac:dyDescent="0.2">
      <c r="A112" s="3" t="s">
        <v>20</v>
      </c>
      <c r="B112" s="3" t="s">
        <v>1179</v>
      </c>
      <c r="C112" s="6" t="s">
        <v>42</v>
      </c>
      <c r="D112" s="2" t="s">
        <v>1180</v>
      </c>
      <c r="E112" s="3" t="s">
        <v>29</v>
      </c>
      <c r="F112" s="3" t="s">
        <v>1182</v>
      </c>
      <c r="G112" s="2" t="s">
        <v>1181</v>
      </c>
      <c r="H112" s="3" t="s">
        <v>23</v>
      </c>
      <c r="I112" s="5">
        <v>7175221.2999999998</v>
      </c>
      <c r="J112" s="5">
        <v>2625252.48</v>
      </c>
      <c r="K112" s="3">
        <v>37</v>
      </c>
      <c r="L112" s="5">
        <v>1312626.24</v>
      </c>
      <c r="M112" s="5">
        <v>1312626.24</v>
      </c>
      <c r="N112" s="5">
        <v>1312626.24</v>
      </c>
      <c r="O112" s="5">
        <f t="shared" si="4"/>
        <v>0</v>
      </c>
      <c r="P112" s="19" t="s">
        <v>1981</v>
      </c>
      <c r="Q112" s="2" t="s">
        <v>1975</v>
      </c>
    </row>
    <row r="113" spans="1:17" ht="45" x14ac:dyDescent="0.2">
      <c r="A113" s="3" t="s">
        <v>20</v>
      </c>
      <c r="B113" s="2" t="s">
        <v>1191</v>
      </c>
      <c r="C113" s="6" t="s">
        <v>42</v>
      </c>
      <c r="D113" s="2" t="s">
        <v>1197</v>
      </c>
      <c r="E113" s="3" t="s">
        <v>29</v>
      </c>
      <c r="F113" s="3" t="s">
        <v>179</v>
      </c>
      <c r="G113" s="2" t="s">
        <v>1194</v>
      </c>
      <c r="H113" s="3" t="s">
        <v>23</v>
      </c>
      <c r="I113" s="5">
        <v>33627996</v>
      </c>
      <c r="J113" s="5">
        <v>26902396.800000001</v>
      </c>
      <c r="K113" s="3">
        <v>80</v>
      </c>
      <c r="L113" s="21">
        <f>I113*40%</f>
        <v>13451198.4</v>
      </c>
      <c r="M113" s="21">
        <v>13451198.4</v>
      </c>
      <c r="N113" s="5">
        <f>J113-M113</f>
        <v>13451198.4</v>
      </c>
      <c r="O113" s="5">
        <f t="shared" si="4"/>
        <v>0</v>
      </c>
      <c r="P113" s="19"/>
      <c r="Q113" s="2" t="s">
        <v>2529</v>
      </c>
    </row>
    <row r="114" spans="1:17" ht="30" x14ac:dyDescent="0.2">
      <c r="A114" s="3" t="s">
        <v>20</v>
      </c>
      <c r="B114" s="3" t="s">
        <v>1209</v>
      </c>
      <c r="C114" s="6" t="s">
        <v>42</v>
      </c>
      <c r="D114" s="2" t="s">
        <v>1213</v>
      </c>
      <c r="E114" s="3" t="s">
        <v>29</v>
      </c>
      <c r="F114" s="3" t="s">
        <v>126</v>
      </c>
      <c r="G114" s="2" t="s">
        <v>117</v>
      </c>
      <c r="H114" s="3" t="s">
        <v>23</v>
      </c>
      <c r="I114" s="5">
        <v>261008.28</v>
      </c>
      <c r="J114" s="5">
        <v>261008.28</v>
      </c>
      <c r="K114" s="3">
        <v>100</v>
      </c>
      <c r="L114" s="5">
        <v>261008.28</v>
      </c>
      <c r="M114" s="5">
        <v>261008.28</v>
      </c>
      <c r="N114" s="5">
        <v>261008.28</v>
      </c>
      <c r="O114" s="5">
        <f t="shared" si="4"/>
        <v>0</v>
      </c>
      <c r="P114" s="25">
        <v>45538</v>
      </c>
      <c r="Q114" s="2" t="s">
        <v>2908</v>
      </c>
    </row>
    <row r="115" spans="1:17" ht="30" x14ac:dyDescent="0.2">
      <c r="A115" s="3" t="s">
        <v>20</v>
      </c>
      <c r="B115" s="3" t="s">
        <v>1247</v>
      </c>
      <c r="C115" s="6" t="s">
        <v>42</v>
      </c>
      <c r="D115" s="2" t="s">
        <v>1254</v>
      </c>
      <c r="E115" s="3" t="s">
        <v>29</v>
      </c>
      <c r="F115" s="3" t="s">
        <v>126</v>
      </c>
      <c r="G115" s="2" t="s">
        <v>1248</v>
      </c>
      <c r="H115" s="3" t="s">
        <v>23</v>
      </c>
      <c r="I115" s="5">
        <v>3750012</v>
      </c>
      <c r="J115" s="5">
        <v>3750012</v>
      </c>
      <c r="K115" s="3">
        <v>100</v>
      </c>
      <c r="L115" s="5">
        <v>1500004.8</v>
      </c>
      <c r="M115" s="5">
        <v>1500004.8</v>
      </c>
      <c r="N115" s="5">
        <v>2250007.2000000002</v>
      </c>
      <c r="O115" s="5">
        <f t="shared" si="4"/>
        <v>0</v>
      </c>
      <c r="P115" s="19" t="s">
        <v>1983</v>
      </c>
      <c r="Q115" s="2" t="s">
        <v>1985</v>
      </c>
    </row>
    <row r="116" spans="1:17" ht="45" x14ac:dyDescent="0.2">
      <c r="A116" s="3" t="s">
        <v>20</v>
      </c>
      <c r="B116" s="3" t="s">
        <v>1255</v>
      </c>
      <c r="C116" s="6" t="s">
        <v>42</v>
      </c>
      <c r="D116" s="2" t="s">
        <v>1260</v>
      </c>
      <c r="E116" s="3" t="s">
        <v>29</v>
      </c>
      <c r="F116" s="3" t="s">
        <v>47</v>
      </c>
      <c r="G116" s="2" t="s">
        <v>1261</v>
      </c>
      <c r="H116" s="3" t="s">
        <v>23</v>
      </c>
      <c r="I116" s="5">
        <v>10653645.6</v>
      </c>
      <c r="J116" s="5">
        <v>8522916.4800000004</v>
      </c>
      <c r="K116" s="3">
        <v>80</v>
      </c>
      <c r="L116" s="21">
        <f t="shared" ref="L116:L175" si="5">I116*40%</f>
        <v>4261458.24</v>
      </c>
      <c r="M116" s="5">
        <v>4261458.24</v>
      </c>
      <c r="N116" s="5">
        <v>8522916.4800000004</v>
      </c>
      <c r="O116" s="5">
        <f t="shared" si="4"/>
        <v>0</v>
      </c>
      <c r="P116" s="25">
        <v>45531</v>
      </c>
      <c r="Q116" s="2" t="s">
        <v>2655</v>
      </c>
    </row>
    <row r="117" spans="1:17" ht="45" x14ac:dyDescent="0.2">
      <c r="A117" s="3" t="s">
        <v>20</v>
      </c>
      <c r="B117" s="3" t="s">
        <v>1306</v>
      </c>
      <c r="C117" s="6" t="s">
        <v>42</v>
      </c>
      <c r="D117" s="2" t="s">
        <v>1307</v>
      </c>
      <c r="E117" s="3" t="s">
        <v>29</v>
      </c>
      <c r="F117" s="3" t="s">
        <v>1309</v>
      </c>
      <c r="G117" s="2" t="s">
        <v>1308</v>
      </c>
      <c r="H117" s="3" t="s">
        <v>23</v>
      </c>
      <c r="I117" s="5">
        <v>223432.92</v>
      </c>
      <c r="J117" s="5">
        <v>100852.32</v>
      </c>
      <c r="K117" s="3">
        <v>45</v>
      </c>
      <c r="L117" s="5">
        <v>100852.32</v>
      </c>
      <c r="M117" s="5">
        <v>100852.32</v>
      </c>
      <c r="N117" s="5"/>
      <c r="O117" s="5">
        <f t="shared" si="4"/>
        <v>0</v>
      </c>
      <c r="P117" s="19"/>
      <c r="Q117" s="2" t="s">
        <v>1986</v>
      </c>
    </row>
    <row r="118" spans="1:17" ht="30" x14ac:dyDescent="0.2">
      <c r="A118" s="3" t="s">
        <v>20</v>
      </c>
      <c r="B118" s="3" t="s">
        <v>1708</v>
      </c>
      <c r="C118" s="6" t="s">
        <v>42</v>
      </c>
      <c r="D118" s="2" t="s">
        <v>1710</v>
      </c>
      <c r="E118" s="3" t="s">
        <v>29</v>
      </c>
      <c r="F118" s="3" t="s">
        <v>327</v>
      </c>
      <c r="G118" s="2" t="s">
        <v>909</v>
      </c>
      <c r="H118" s="3" t="s">
        <v>23</v>
      </c>
      <c r="I118" s="5">
        <v>382320.6</v>
      </c>
      <c r="J118" s="5">
        <v>183846.82</v>
      </c>
      <c r="K118" s="3">
        <v>48</v>
      </c>
      <c r="L118" s="5">
        <v>183846.82</v>
      </c>
      <c r="M118" s="5">
        <v>183846.82</v>
      </c>
      <c r="N118" s="5"/>
      <c r="O118" s="5">
        <f t="shared" si="4"/>
        <v>0</v>
      </c>
      <c r="P118" s="37"/>
      <c r="Q118" s="2" t="s">
        <v>2122</v>
      </c>
    </row>
    <row r="119" spans="1:17" ht="45" x14ac:dyDescent="0.2">
      <c r="A119" s="3" t="s">
        <v>20</v>
      </c>
      <c r="B119" s="3" t="s">
        <v>1718</v>
      </c>
      <c r="C119" s="6" t="s">
        <v>42</v>
      </c>
      <c r="D119" s="2" t="s">
        <v>1719</v>
      </c>
      <c r="E119" s="3" t="s">
        <v>29</v>
      </c>
      <c r="F119" s="3" t="s">
        <v>572</v>
      </c>
      <c r="G119" s="2" t="s">
        <v>1720</v>
      </c>
      <c r="H119" s="3" t="s">
        <v>23</v>
      </c>
      <c r="I119" s="5">
        <v>4502264.16</v>
      </c>
      <c r="J119" s="5">
        <v>1607513.18</v>
      </c>
      <c r="K119" s="3">
        <v>36</v>
      </c>
      <c r="L119" s="5">
        <v>803756.59</v>
      </c>
      <c r="M119" s="5">
        <v>803756.59</v>
      </c>
      <c r="N119" s="5">
        <v>1307830.99</v>
      </c>
      <c r="O119" s="5">
        <f t="shared" si="4"/>
        <v>0</v>
      </c>
      <c r="P119" s="38">
        <v>45536</v>
      </c>
      <c r="Q119" s="2" t="s">
        <v>1987</v>
      </c>
    </row>
    <row r="120" spans="1:17" ht="30" x14ac:dyDescent="0.2">
      <c r="A120" s="3" t="s">
        <v>20</v>
      </c>
      <c r="B120" s="2" t="s">
        <v>1734</v>
      </c>
      <c r="C120" s="6" t="s">
        <v>42</v>
      </c>
      <c r="D120" s="2" t="s">
        <v>1735</v>
      </c>
      <c r="E120" s="3" t="s">
        <v>29</v>
      </c>
      <c r="F120" s="3" t="s">
        <v>699</v>
      </c>
      <c r="G120" s="2" t="s">
        <v>1736</v>
      </c>
      <c r="H120" s="3" t="s">
        <v>23</v>
      </c>
      <c r="I120" s="5">
        <v>159142962.81999999</v>
      </c>
      <c r="J120" s="5">
        <v>53743495.68</v>
      </c>
      <c r="K120" s="3">
        <v>34</v>
      </c>
      <c r="L120" s="5">
        <v>26871747.84</v>
      </c>
      <c r="M120" s="5">
        <v>26871747.84</v>
      </c>
      <c r="N120" s="5">
        <v>26871747.84</v>
      </c>
      <c r="O120" s="5">
        <f t="shared" si="4"/>
        <v>0</v>
      </c>
      <c r="P120" s="19" t="s">
        <v>1981</v>
      </c>
      <c r="Q120" s="2" t="s">
        <v>1982</v>
      </c>
    </row>
    <row r="121" spans="1:17" ht="30" x14ac:dyDescent="0.2">
      <c r="A121" s="3" t="s">
        <v>20</v>
      </c>
      <c r="B121" s="3" t="s">
        <v>1811</v>
      </c>
      <c r="C121" s="6" t="s">
        <v>42</v>
      </c>
      <c r="D121" s="2" t="s">
        <v>1814</v>
      </c>
      <c r="E121" s="3" t="s">
        <v>29</v>
      </c>
      <c r="F121" s="3" t="s">
        <v>662</v>
      </c>
      <c r="G121" s="2" t="s">
        <v>1812</v>
      </c>
      <c r="H121" s="3" t="s">
        <v>23</v>
      </c>
      <c r="I121" s="5">
        <v>275975</v>
      </c>
      <c r="J121" s="5">
        <v>137987.5</v>
      </c>
      <c r="K121" s="3">
        <v>50</v>
      </c>
      <c r="L121" s="5">
        <v>137987.5</v>
      </c>
      <c r="M121" s="5">
        <v>137987.5</v>
      </c>
      <c r="N121" s="5"/>
      <c r="O121" s="5">
        <f t="shared" si="4"/>
        <v>0</v>
      </c>
      <c r="P121" s="19"/>
      <c r="Q121" s="2" t="s">
        <v>1988</v>
      </c>
    </row>
    <row r="122" spans="1:17" ht="60" x14ac:dyDescent="0.2">
      <c r="A122" s="3" t="s">
        <v>20</v>
      </c>
      <c r="B122" s="2" t="s">
        <v>1831</v>
      </c>
      <c r="C122" s="6" t="s">
        <v>42</v>
      </c>
      <c r="D122" s="2" t="s">
        <v>1832</v>
      </c>
      <c r="E122" s="3" t="s">
        <v>29</v>
      </c>
      <c r="F122" s="3" t="s">
        <v>572</v>
      </c>
      <c r="G122" s="2" t="s">
        <v>1833</v>
      </c>
      <c r="H122" s="3" t="s">
        <v>23</v>
      </c>
      <c r="I122" s="5">
        <v>416719791.83999997</v>
      </c>
      <c r="J122" s="5">
        <v>148240362.81999999</v>
      </c>
      <c r="K122" s="3">
        <v>36</v>
      </c>
      <c r="L122" s="5">
        <v>74120181.409999996</v>
      </c>
      <c r="M122" s="5">
        <v>74120181.409999996</v>
      </c>
      <c r="N122" s="5">
        <v>74120181.409999996</v>
      </c>
      <c r="O122" s="5">
        <f t="shared" si="4"/>
        <v>0</v>
      </c>
      <c r="P122" s="37"/>
      <c r="Q122" s="2" t="s">
        <v>1982</v>
      </c>
    </row>
    <row r="123" spans="1:17" ht="45" x14ac:dyDescent="0.2">
      <c r="A123" s="3" t="s">
        <v>20</v>
      </c>
      <c r="B123" s="3" t="s">
        <v>2656</v>
      </c>
      <c r="C123" s="6" t="s">
        <v>42</v>
      </c>
      <c r="D123" s="2" t="s">
        <v>1851</v>
      </c>
      <c r="E123" s="3" t="s">
        <v>29</v>
      </c>
      <c r="F123" s="3" t="s">
        <v>126</v>
      </c>
      <c r="G123" s="2" t="s">
        <v>1852</v>
      </c>
      <c r="H123" s="3" t="s">
        <v>23</v>
      </c>
      <c r="I123" s="5">
        <v>1222992</v>
      </c>
      <c r="J123" s="5">
        <v>1222992</v>
      </c>
      <c r="K123" s="3">
        <v>100</v>
      </c>
      <c r="L123" s="21">
        <v>1222992</v>
      </c>
      <c r="M123" s="5">
        <v>1222992</v>
      </c>
      <c r="N123" s="5">
        <v>1222992</v>
      </c>
      <c r="O123" s="5">
        <f t="shared" si="4"/>
        <v>0</v>
      </c>
      <c r="P123" s="25">
        <v>45534</v>
      </c>
      <c r="Q123" s="2" t="s">
        <v>2657</v>
      </c>
    </row>
    <row r="124" spans="1:17" ht="30" x14ac:dyDescent="0.2">
      <c r="A124" s="3" t="s">
        <v>20</v>
      </c>
      <c r="B124" s="2" t="s">
        <v>2578</v>
      </c>
      <c r="C124" s="6" t="s">
        <v>42</v>
      </c>
      <c r="D124" s="2" t="s">
        <v>1880</v>
      </c>
      <c r="E124" s="3" t="s">
        <v>29</v>
      </c>
      <c r="F124" s="3" t="s">
        <v>126</v>
      </c>
      <c r="G124" s="2" t="s">
        <v>1881</v>
      </c>
      <c r="H124" s="39" t="s">
        <v>23</v>
      </c>
      <c r="I124" s="5">
        <v>11412</v>
      </c>
      <c r="J124" s="5">
        <v>11412</v>
      </c>
      <c r="K124" s="3">
        <v>100</v>
      </c>
      <c r="L124" s="5">
        <v>11412</v>
      </c>
      <c r="M124" s="5"/>
      <c r="N124" s="5">
        <v>11412</v>
      </c>
      <c r="O124" s="5">
        <f t="shared" si="4"/>
        <v>11412</v>
      </c>
      <c r="P124" s="40">
        <v>45544</v>
      </c>
      <c r="Q124" s="2" t="s">
        <v>2798</v>
      </c>
    </row>
    <row r="125" spans="1:17" ht="30" x14ac:dyDescent="0.2">
      <c r="A125" s="3" t="s">
        <v>20</v>
      </c>
      <c r="B125" s="2" t="s">
        <v>2587</v>
      </c>
      <c r="C125" s="6" t="s">
        <v>42</v>
      </c>
      <c r="D125" s="2" t="s">
        <v>1911</v>
      </c>
      <c r="E125" s="3" t="s">
        <v>29</v>
      </c>
      <c r="F125" s="3" t="s">
        <v>126</v>
      </c>
      <c r="G125" s="2" t="s">
        <v>1908</v>
      </c>
      <c r="H125" s="3" t="s">
        <v>23</v>
      </c>
      <c r="I125" s="5">
        <v>229305.60000000001</v>
      </c>
      <c r="J125" s="5">
        <v>229305.60000000001</v>
      </c>
      <c r="K125" s="3">
        <v>100</v>
      </c>
      <c r="L125" s="21">
        <v>229305.60000000001</v>
      </c>
      <c r="M125" s="5">
        <v>229305.60000000001</v>
      </c>
      <c r="N125" s="5">
        <v>229305.60000000001</v>
      </c>
      <c r="O125" s="5">
        <f t="shared" si="4"/>
        <v>0</v>
      </c>
      <c r="P125" s="37"/>
      <c r="Q125" s="2" t="s">
        <v>2658</v>
      </c>
    </row>
    <row r="126" spans="1:17" ht="30" x14ac:dyDescent="0.2">
      <c r="A126" s="3" t="s">
        <v>20</v>
      </c>
      <c r="B126" s="2" t="s">
        <v>2587</v>
      </c>
      <c r="C126" s="6" t="s">
        <v>42</v>
      </c>
      <c r="D126" s="2" t="s">
        <v>1912</v>
      </c>
      <c r="E126" s="3" t="s">
        <v>29</v>
      </c>
      <c r="F126" s="3" t="s">
        <v>126</v>
      </c>
      <c r="G126" s="2" t="s">
        <v>1908</v>
      </c>
      <c r="H126" s="3" t="s">
        <v>23</v>
      </c>
      <c r="I126" s="5">
        <v>59606.28</v>
      </c>
      <c r="J126" s="5">
        <v>59606.28</v>
      </c>
      <c r="K126" s="3">
        <v>100</v>
      </c>
      <c r="L126" s="21">
        <f t="shared" si="5"/>
        <v>23842.512000000002</v>
      </c>
      <c r="M126" s="5">
        <v>23842.51</v>
      </c>
      <c r="N126" s="5">
        <v>35763.769999999997</v>
      </c>
      <c r="O126" s="5">
        <f t="shared" si="4"/>
        <v>2.0000000040454324E-3</v>
      </c>
      <c r="P126" s="25"/>
      <c r="Q126" s="2" t="s">
        <v>2013</v>
      </c>
    </row>
    <row r="127" spans="1:17" ht="30" x14ac:dyDescent="0.2">
      <c r="A127" s="3" t="s">
        <v>20</v>
      </c>
      <c r="B127" s="2" t="s">
        <v>2587</v>
      </c>
      <c r="C127" s="6" t="s">
        <v>42</v>
      </c>
      <c r="D127" s="2" t="s">
        <v>1913</v>
      </c>
      <c r="E127" s="3" t="s">
        <v>29</v>
      </c>
      <c r="F127" s="3" t="s">
        <v>47</v>
      </c>
      <c r="G127" s="2" t="s">
        <v>315</v>
      </c>
      <c r="H127" s="3" t="s">
        <v>23</v>
      </c>
      <c r="I127" s="5">
        <v>111730.57</v>
      </c>
      <c r="J127" s="5">
        <v>111730.57</v>
      </c>
      <c r="K127" s="3">
        <v>100</v>
      </c>
      <c r="L127" s="5">
        <v>111730.57</v>
      </c>
      <c r="M127" s="5">
        <v>111730.57</v>
      </c>
      <c r="N127" s="5"/>
      <c r="O127" s="5">
        <f t="shared" si="4"/>
        <v>0</v>
      </c>
      <c r="P127" s="25"/>
      <c r="Q127" s="2" t="s">
        <v>2014</v>
      </c>
    </row>
    <row r="128" spans="1:17" ht="45" x14ac:dyDescent="0.2">
      <c r="A128" s="3" t="s">
        <v>20</v>
      </c>
      <c r="B128" s="3" t="s">
        <v>41</v>
      </c>
      <c r="C128" s="6" t="s">
        <v>42</v>
      </c>
      <c r="D128" s="2" t="s">
        <v>46</v>
      </c>
      <c r="E128" s="3" t="s">
        <v>1949</v>
      </c>
      <c r="F128" s="3" t="s">
        <v>47</v>
      </c>
      <c r="G128" s="2" t="s">
        <v>48</v>
      </c>
      <c r="H128" s="3" t="s">
        <v>23</v>
      </c>
      <c r="I128" s="5">
        <v>3621744</v>
      </c>
      <c r="J128" s="5">
        <v>2897395.2</v>
      </c>
      <c r="K128" s="3">
        <v>80</v>
      </c>
      <c r="L128" s="21">
        <f t="shared" si="5"/>
        <v>1448697.6</v>
      </c>
      <c r="M128" s="5"/>
      <c r="N128" s="5">
        <v>2897395.2</v>
      </c>
      <c r="O128" s="5">
        <f t="shared" si="4"/>
        <v>1448697.6</v>
      </c>
      <c r="P128" s="19" t="s">
        <v>1983</v>
      </c>
      <c r="Q128" s="2" t="s">
        <v>2659</v>
      </c>
    </row>
    <row r="129" spans="1:17" ht="75" x14ac:dyDescent="0.2">
      <c r="A129" s="3" t="s">
        <v>20</v>
      </c>
      <c r="B129" s="3" t="s">
        <v>74</v>
      </c>
      <c r="C129" s="6" t="s">
        <v>42</v>
      </c>
      <c r="D129" s="2" t="s">
        <v>89</v>
      </c>
      <c r="E129" s="3" t="s">
        <v>1949</v>
      </c>
      <c r="F129" s="3" t="s">
        <v>47</v>
      </c>
      <c r="G129" s="2" t="s">
        <v>90</v>
      </c>
      <c r="H129" s="3" t="s">
        <v>23</v>
      </c>
      <c r="I129" s="5">
        <v>65911722.630000003</v>
      </c>
      <c r="J129" s="5">
        <v>52729378.100000001</v>
      </c>
      <c r="K129" s="3">
        <v>80</v>
      </c>
      <c r="L129" s="21">
        <f t="shared" si="5"/>
        <v>26364689.052000001</v>
      </c>
      <c r="M129" s="5"/>
      <c r="N129" s="5">
        <v>52729378.100000001</v>
      </c>
      <c r="O129" s="5">
        <f t="shared" si="4"/>
        <v>26364689.052000001</v>
      </c>
      <c r="P129" s="25"/>
      <c r="Q129" s="2" t="s">
        <v>2909</v>
      </c>
    </row>
    <row r="130" spans="1:17" ht="30" x14ac:dyDescent="0.2">
      <c r="A130" s="3" t="s">
        <v>20</v>
      </c>
      <c r="B130" s="3" t="s">
        <v>98</v>
      </c>
      <c r="C130" s="6" t="s">
        <v>42</v>
      </c>
      <c r="D130" s="2" t="s">
        <v>100</v>
      </c>
      <c r="E130" s="3" t="s">
        <v>1949</v>
      </c>
      <c r="F130" s="3" t="s">
        <v>47</v>
      </c>
      <c r="G130" s="2" t="s">
        <v>101</v>
      </c>
      <c r="H130" s="3" t="s">
        <v>23</v>
      </c>
      <c r="I130" s="5">
        <v>42008279.93</v>
      </c>
      <c r="J130" s="5">
        <v>33606623.939999998</v>
      </c>
      <c r="K130" s="3">
        <v>80</v>
      </c>
      <c r="L130" s="21">
        <f t="shared" si="5"/>
        <v>16803311.971999999</v>
      </c>
      <c r="M130" s="5"/>
      <c r="N130" s="5">
        <v>33606623.939999998</v>
      </c>
      <c r="O130" s="5">
        <f t="shared" si="4"/>
        <v>16803311.971999999</v>
      </c>
      <c r="P130" s="37" t="s">
        <v>1983</v>
      </c>
      <c r="Q130" s="2" t="s">
        <v>2660</v>
      </c>
    </row>
    <row r="131" spans="1:17" ht="30" x14ac:dyDescent="0.2">
      <c r="A131" s="3" t="s">
        <v>20</v>
      </c>
      <c r="B131" s="3" t="s">
        <v>183</v>
      </c>
      <c r="C131" s="6" t="s">
        <v>42</v>
      </c>
      <c r="D131" s="2" t="s">
        <v>195</v>
      </c>
      <c r="E131" s="3" t="s">
        <v>1949</v>
      </c>
      <c r="F131" s="3" t="s">
        <v>47</v>
      </c>
      <c r="G131" s="2" t="s">
        <v>184</v>
      </c>
      <c r="H131" s="3" t="s">
        <v>23</v>
      </c>
      <c r="I131" s="5">
        <v>80028</v>
      </c>
      <c r="J131" s="5">
        <v>64022.400000000001</v>
      </c>
      <c r="K131" s="3">
        <v>80</v>
      </c>
      <c r="L131" s="5">
        <v>80028</v>
      </c>
      <c r="M131" s="5"/>
      <c r="N131" s="5">
        <v>64022.400000000001</v>
      </c>
      <c r="O131" s="5">
        <f t="shared" si="4"/>
        <v>80028</v>
      </c>
      <c r="P131" s="25">
        <v>45548</v>
      </c>
      <c r="Q131" s="2" t="s">
        <v>2080</v>
      </c>
    </row>
    <row r="132" spans="1:17" ht="105" x14ac:dyDescent="0.2">
      <c r="A132" s="3" t="s">
        <v>20</v>
      </c>
      <c r="B132" s="3" t="s">
        <v>206</v>
      </c>
      <c r="C132" s="6" t="s">
        <v>42</v>
      </c>
      <c r="D132" s="2" t="s">
        <v>222</v>
      </c>
      <c r="E132" s="3" t="s">
        <v>1949</v>
      </c>
      <c r="F132" s="3" t="s">
        <v>47</v>
      </c>
      <c r="G132" s="2" t="s">
        <v>210</v>
      </c>
      <c r="H132" s="3" t="s">
        <v>23</v>
      </c>
      <c r="I132" s="5">
        <v>1713421.45</v>
      </c>
      <c r="J132" s="5">
        <v>1370737.16</v>
      </c>
      <c r="K132" s="3">
        <v>80</v>
      </c>
      <c r="L132" s="21">
        <v>684720</v>
      </c>
      <c r="M132" s="5"/>
      <c r="N132" s="5">
        <v>1370737.16</v>
      </c>
      <c r="O132" s="5">
        <f t="shared" si="4"/>
        <v>684720</v>
      </c>
      <c r="P132" s="19"/>
      <c r="Q132" s="2" t="s">
        <v>2910</v>
      </c>
    </row>
    <row r="133" spans="1:17" ht="30" x14ac:dyDescent="0.2">
      <c r="A133" s="3" t="s">
        <v>20</v>
      </c>
      <c r="B133" s="3" t="s">
        <v>2799</v>
      </c>
      <c r="C133" s="12" t="s">
        <v>42</v>
      </c>
      <c r="D133" s="2" t="s">
        <v>320</v>
      </c>
      <c r="E133" s="3" t="s">
        <v>1949</v>
      </c>
      <c r="F133" s="3" t="s">
        <v>47</v>
      </c>
      <c r="G133" s="2" t="s">
        <v>310</v>
      </c>
      <c r="H133" s="3" t="s">
        <v>23</v>
      </c>
      <c r="I133" s="5">
        <v>1670150.65</v>
      </c>
      <c r="J133" s="5">
        <v>1336120.52</v>
      </c>
      <c r="K133" s="3">
        <v>80</v>
      </c>
      <c r="L133" s="21">
        <f t="shared" si="5"/>
        <v>668060.26</v>
      </c>
      <c r="M133" s="5"/>
      <c r="N133" s="5">
        <v>1336120.52</v>
      </c>
      <c r="O133" s="5">
        <f t="shared" si="4"/>
        <v>668060.26</v>
      </c>
      <c r="P133" s="40">
        <v>45555</v>
      </c>
      <c r="Q133" s="2" t="s">
        <v>2911</v>
      </c>
    </row>
    <row r="134" spans="1:17" x14ac:dyDescent="0.2">
      <c r="A134" s="3"/>
      <c r="B134" s="3" t="s">
        <v>2799</v>
      </c>
      <c r="C134" s="12">
        <v>429</v>
      </c>
      <c r="D134" s="2"/>
      <c r="E134" s="3"/>
      <c r="F134" s="3"/>
      <c r="G134" s="2" t="s">
        <v>310</v>
      </c>
      <c r="H134" s="3"/>
      <c r="I134" s="5"/>
      <c r="J134" s="5">
        <v>1000.44</v>
      </c>
      <c r="K134" s="3"/>
      <c r="L134" s="5">
        <v>1000.44</v>
      </c>
      <c r="M134" s="5"/>
      <c r="N134" s="5"/>
      <c r="O134" s="5">
        <f t="shared" si="4"/>
        <v>1000.44</v>
      </c>
      <c r="P134" s="25">
        <v>45548</v>
      </c>
      <c r="Q134" s="2" t="s">
        <v>2912</v>
      </c>
    </row>
    <row r="135" spans="1:17" ht="30" x14ac:dyDescent="0.2">
      <c r="A135" s="3" t="s">
        <v>20</v>
      </c>
      <c r="B135" s="3" t="s">
        <v>342</v>
      </c>
      <c r="C135" s="6" t="s">
        <v>42</v>
      </c>
      <c r="D135" s="2" t="s">
        <v>350</v>
      </c>
      <c r="E135" s="3" t="s">
        <v>1949</v>
      </c>
      <c r="F135" s="3" t="s">
        <v>126</v>
      </c>
      <c r="G135" s="2" t="s">
        <v>351</v>
      </c>
      <c r="H135" s="3" t="s">
        <v>23</v>
      </c>
      <c r="I135" s="5">
        <v>1000000</v>
      </c>
      <c r="J135" s="5">
        <v>1000000</v>
      </c>
      <c r="K135" s="3">
        <v>100</v>
      </c>
      <c r="L135" s="21">
        <f t="shared" si="5"/>
        <v>400000</v>
      </c>
      <c r="M135" s="5"/>
      <c r="N135" s="5">
        <v>1000000</v>
      </c>
      <c r="O135" s="5">
        <f t="shared" si="4"/>
        <v>400000</v>
      </c>
      <c r="P135" s="5" t="s">
        <v>1981</v>
      </c>
      <c r="Q135" s="2" t="s">
        <v>2913</v>
      </c>
    </row>
    <row r="136" spans="1:17" ht="60.75" customHeight="1" x14ac:dyDescent="0.2">
      <c r="A136" s="3" t="s">
        <v>20</v>
      </c>
      <c r="B136" s="3" t="s">
        <v>395</v>
      </c>
      <c r="C136" s="6" t="s">
        <v>42</v>
      </c>
      <c r="D136" s="2" t="s">
        <v>405</v>
      </c>
      <c r="E136" s="3" t="s">
        <v>1949</v>
      </c>
      <c r="F136" s="3" t="s">
        <v>47</v>
      </c>
      <c r="G136" s="2" t="s">
        <v>396</v>
      </c>
      <c r="H136" s="3" t="s">
        <v>23</v>
      </c>
      <c r="I136" s="5">
        <v>1125036</v>
      </c>
      <c r="J136" s="5">
        <v>900028.8</v>
      </c>
      <c r="K136" s="3">
        <v>80</v>
      </c>
      <c r="L136" s="21">
        <f t="shared" si="5"/>
        <v>450014.4</v>
      </c>
      <c r="M136" s="5"/>
      <c r="N136" s="5">
        <v>900028.8</v>
      </c>
      <c r="O136" s="5">
        <f t="shared" si="4"/>
        <v>450014.4</v>
      </c>
      <c r="P136" s="37"/>
      <c r="Q136" s="2" t="s">
        <v>2914</v>
      </c>
    </row>
    <row r="137" spans="1:17" ht="60.75" customHeight="1" x14ac:dyDescent="0.2">
      <c r="A137" s="3" t="s">
        <v>20</v>
      </c>
      <c r="B137" s="2" t="s">
        <v>509</v>
      </c>
      <c r="C137" s="6" t="s">
        <v>42</v>
      </c>
      <c r="D137" s="2" t="s">
        <v>510</v>
      </c>
      <c r="E137" s="3" t="s">
        <v>1949</v>
      </c>
      <c r="F137" s="3" t="s">
        <v>47</v>
      </c>
      <c r="G137" s="2" t="s">
        <v>511</v>
      </c>
      <c r="H137" s="3" t="s">
        <v>23</v>
      </c>
      <c r="I137" s="5">
        <v>21087283.48</v>
      </c>
      <c r="J137" s="5">
        <v>16869826.780000001</v>
      </c>
      <c r="K137" s="3">
        <v>80</v>
      </c>
      <c r="L137" s="21">
        <f t="shared" si="5"/>
        <v>8434913.3920000009</v>
      </c>
      <c r="M137" s="5"/>
      <c r="N137" s="5">
        <v>16869826.780000001</v>
      </c>
      <c r="O137" s="5">
        <f t="shared" si="4"/>
        <v>8434913.3920000009</v>
      </c>
      <c r="P137" s="25">
        <v>45555</v>
      </c>
      <c r="Q137" s="41" t="s">
        <v>2915</v>
      </c>
    </row>
    <row r="138" spans="1:17" ht="60.75" customHeight="1" x14ac:dyDescent="0.2">
      <c r="A138" s="3" t="s">
        <v>20</v>
      </c>
      <c r="B138" s="2" t="s">
        <v>585</v>
      </c>
      <c r="C138" s="6" t="s">
        <v>42</v>
      </c>
      <c r="D138" s="2" t="s">
        <v>588</v>
      </c>
      <c r="E138" s="3" t="s">
        <v>1949</v>
      </c>
      <c r="F138" s="3" t="s">
        <v>47</v>
      </c>
      <c r="G138" s="2" t="s">
        <v>75</v>
      </c>
      <c r="H138" s="3" t="s">
        <v>23</v>
      </c>
      <c r="I138" s="5">
        <v>135011340</v>
      </c>
      <c r="J138" s="5">
        <v>108009072</v>
      </c>
      <c r="K138" s="3">
        <v>80</v>
      </c>
      <c r="L138" s="21">
        <f t="shared" si="5"/>
        <v>54004536</v>
      </c>
      <c r="M138" s="5"/>
      <c r="N138" s="5">
        <v>108009072</v>
      </c>
      <c r="O138" s="5">
        <f t="shared" si="4"/>
        <v>54004536</v>
      </c>
      <c r="P138" s="25">
        <v>45555</v>
      </c>
      <c r="Q138" s="41" t="s">
        <v>2916</v>
      </c>
    </row>
    <row r="139" spans="1:17" ht="30" x14ac:dyDescent="0.2">
      <c r="A139" s="3" t="s">
        <v>20</v>
      </c>
      <c r="B139" s="3" t="s">
        <v>601</v>
      </c>
      <c r="C139" s="6" t="s">
        <v>42</v>
      </c>
      <c r="D139" s="2" t="s">
        <v>609</v>
      </c>
      <c r="E139" s="3" t="s">
        <v>1949</v>
      </c>
      <c r="F139" s="3" t="s">
        <v>47</v>
      </c>
      <c r="G139" s="2" t="s">
        <v>603</v>
      </c>
      <c r="H139" s="3" t="s">
        <v>23</v>
      </c>
      <c r="I139" s="5">
        <v>3393504</v>
      </c>
      <c r="J139" s="5">
        <v>2714803.2</v>
      </c>
      <c r="K139" s="3">
        <v>80</v>
      </c>
      <c r="L139" s="21">
        <f t="shared" si="5"/>
        <v>1357401.6</v>
      </c>
      <c r="M139" s="5"/>
      <c r="N139" s="5">
        <v>2714803.2</v>
      </c>
      <c r="O139" s="5">
        <f t="shared" si="4"/>
        <v>1357401.6</v>
      </c>
      <c r="P139" s="19" t="s">
        <v>1983</v>
      </c>
      <c r="Q139" s="2" t="s">
        <v>1989</v>
      </c>
    </row>
    <row r="140" spans="1:17" ht="30" x14ac:dyDescent="0.2">
      <c r="A140" s="3" t="s">
        <v>20</v>
      </c>
      <c r="B140" s="3" t="s">
        <v>649</v>
      </c>
      <c r="C140" s="6" t="s">
        <v>42</v>
      </c>
      <c r="D140" s="2" t="s">
        <v>661</v>
      </c>
      <c r="E140" s="3" t="s">
        <v>1949</v>
      </c>
      <c r="F140" s="3" t="s">
        <v>662</v>
      </c>
      <c r="G140" s="2" t="s">
        <v>663</v>
      </c>
      <c r="H140" s="3" t="s">
        <v>23</v>
      </c>
      <c r="I140" s="5">
        <v>255240</v>
      </c>
      <c r="J140" s="5">
        <v>127620</v>
      </c>
      <c r="K140" s="3">
        <v>50</v>
      </c>
      <c r="L140" s="21">
        <f t="shared" si="5"/>
        <v>102096</v>
      </c>
      <c r="M140" s="5"/>
      <c r="N140" s="5">
        <v>127620</v>
      </c>
      <c r="O140" s="5">
        <f t="shared" si="4"/>
        <v>102096</v>
      </c>
      <c r="P140" s="19" t="s">
        <v>1983</v>
      </c>
      <c r="Q140" s="2" t="s">
        <v>1990</v>
      </c>
    </row>
    <row r="141" spans="1:17" ht="45" x14ac:dyDescent="0.2">
      <c r="A141" s="3" t="s">
        <v>20</v>
      </c>
      <c r="B141" s="2" t="s">
        <v>2801</v>
      </c>
      <c r="C141" s="6" t="s">
        <v>42</v>
      </c>
      <c r="D141" s="2" t="s">
        <v>2081</v>
      </c>
      <c r="E141" s="3" t="s">
        <v>29</v>
      </c>
      <c r="F141" s="3" t="s">
        <v>47</v>
      </c>
      <c r="G141" s="2" t="s">
        <v>669</v>
      </c>
      <c r="H141" s="3" t="s">
        <v>23</v>
      </c>
      <c r="I141" s="5">
        <v>15853625.279999999</v>
      </c>
      <c r="J141" s="5">
        <f>I141*0.8</f>
        <v>12682900.223999999</v>
      </c>
      <c r="K141" s="3">
        <v>80</v>
      </c>
      <c r="L141" s="21">
        <f t="shared" si="5"/>
        <v>6341450.1119999997</v>
      </c>
      <c r="M141" s="5"/>
      <c r="N141" s="5">
        <f>I141*0.8</f>
        <v>12682900.223999999</v>
      </c>
      <c r="O141" s="5">
        <f t="shared" si="4"/>
        <v>6341450.1119999997</v>
      </c>
      <c r="P141" s="40">
        <v>45541</v>
      </c>
      <c r="Q141" s="2" t="s">
        <v>2802</v>
      </c>
    </row>
    <row r="142" spans="1:17" ht="45" x14ac:dyDescent="0.2">
      <c r="A142" s="3" t="s">
        <v>20</v>
      </c>
      <c r="B142" s="2" t="s">
        <v>682</v>
      </c>
      <c r="C142" s="6" t="s">
        <v>42</v>
      </c>
      <c r="D142" s="2" t="s">
        <v>2559</v>
      </c>
      <c r="E142" s="3" t="s">
        <v>29</v>
      </c>
      <c r="F142" s="3" t="s">
        <v>47</v>
      </c>
      <c r="G142" s="2" t="s">
        <v>683</v>
      </c>
      <c r="H142" s="3" t="s">
        <v>23</v>
      </c>
      <c r="I142" s="5">
        <v>25656829.300000001</v>
      </c>
      <c r="J142" s="5">
        <v>14667523.880000001</v>
      </c>
      <c r="K142" s="3">
        <v>80</v>
      </c>
      <c r="L142" s="21">
        <v>5867009.5499999998</v>
      </c>
      <c r="M142" s="5"/>
      <c r="N142" s="5">
        <v>8800514.3300000001</v>
      </c>
      <c r="O142" s="5">
        <f t="shared" si="4"/>
        <v>5867009.5499999998</v>
      </c>
      <c r="P142" s="25">
        <v>45548</v>
      </c>
      <c r="Q142" s="2" t="s">
        <v>2560</v>
      </c>
    </row>
    <row r="143" spans="1:17" ht="34.5" customHeight="1" x14ac:dyDescent="0.2">
      <c r="A143" s="3" t="s">
        <v>20</v>
      </c>
      <c r="B143" s="2" t="s">
        <v>724</v>
      </c>
      <c r="C143" s="6" t="s">
        <v>42</v>
      </c>
      <c r="D143" s="2" t="s">
        <v>725</v>
      </c>
      <c r="E143" s="3" t="s">
        <v>1949</v>
      </c>
      <c r="F143" s="3" t="s">
        <v>47</v>
      </c>
      <c r="G143" s="2" t="s">
        <v>75</v>
      </c>
      <c r="H143" s="3" t="s">
        <v>23</v>
      </c>
      <c r="I143" s="5">
        <v>88449537.359999999</v>
      </c>
      <c r="J143" s="5">
        <f>I143*0.8</f>
        <v>70759629.887999997</v>
      </c>
      <c r="K143" s="3">
        <v>80</v>
      </c>
      <c r="L143" s="21">
        <f t="shared" si="5"/>
        <v>35379814.943999998</v>
      </c>
      <c r="M143" s="5"/>
      <c r="N143" s="5">
        <f>I143*0.8</f>
        <v>70759629.887999997</v>
      </c>
      <c r="O143" s="5">
        <f t="shared" si="4"/>
        <v>35379814.943999998</v>
      </c>
      <c r="P143" s="25">
        <v>45555</v>
      </c>
      <c r="Q143" s="2" t="s">
        <v>2015</v>
      </c>
    </row>
    <row r="144" spans="1:17" ht="30" x14ac:dyDescent="0.2">
      <c r="A144" s="3" t="s">
        <v>20</v>
      </c>
      <c r="B144" s="3" t="s">
        <v>742</v>
      </c>
      <c r="C144" s="6" t="s">
        <v>42</v>
      </c>
      <c r="D144" s="2" t="s">
        <v>748</v>
      </c>
      <c r="E144" s="3" t="s">
        <v>1949</v>
      </c>
      <c r="F144" s="3" t="s">
        <v>749</v>
      </c>
      <c r="G144" s="2" t="s">
        <v>750</v>
      </c>
      <c r="H144" s="3" t="s">
        <v>23</v>
      </c>
      <c r="I144" s="5">
        <v>250000</v>
      </c>
      <c r="J144" s="5">
        <v>200000</v>
      </c>
      <c r="K144" s="3">
        <v>80</v>
      </c>
      <c r="L144" s="21">
        <f t="shared" si="5"/>
        <v>100000</v>
      </c>
      <c r="M144" s="5"/>
      <c r="N144" s="5">
        <v>200000</v>
      </c>
      <c r="O144" s="5">
        <f t="shared" ref="O144:O174" si="6">L144-M144</f>
        <v>100000</v>
      </c>
      <c r="P144" s="25">
        <v>45562</v>
      </c>
      <c r="Q144" s="2" t="s">
        <v>2016</v>
      </c>
    </row>
    <row r="145" spans="1:17" ht="30" x14ac:dyDescent="0.2">
      <c r="A145" s="3" t="s">
        <v>20</v>
      </c>
      <c r="B145" s="3" t="s">
        <v>767</v>
      </c>
      <c r="C145" s="6" t="s">
        <v>42</v>
      </c>
      <c r="D145" s="2" t="s">
        <v>768</v>
      </c>
      <c r="E145" s="3" t="s">
        <v>1949</v>
      </c>
      <c r="F145" s="3" t="s">
        <v>126</v>
      </c>
      <c r="G145" s="2" t="s">
        <v>769</v>
      </c>
      <c r="H145" s="3" t="s">
        <v>23</v>
      </c>
      <c r="I145" s="5">
        <v>719999.28</v>
      </c>
      <c r="J145" s="5">
        <v>719999.28</v>
      </c>
      <c r="K145" s="3">
        <v>100</v>
      </c>
      <c r="L145" s="21">
        <f t="shared" si="5"/>
        <v>287999.712</v>
      </c>
      <c r="M145" s="5"/>
      <c r="N145" s="5">
        <v>719999.28</v>
      </c>
      <c r="O145" s="5">
        <f t="shared" si="6"/>
        <v>287999.712</v>
      </c>
      <c r="P145" s="19" t="s">
        <v>2917</v>
      </c>
      <c r="Q145" s="2" t="s">
        <v>2918</v>
      </c>
    </row>
    <row r="146" spans="1:17" ht="45" x14ac:dyDescent="0.2">
      <c r="A146" s="3" t="s">
        <v>20</v>
      </c>
      <c r="B146" s="3" t="s">
        <v>777</v>
      </c>
      <c r="C146" s="6" t="s">
        <v>42</v>
      </c>
      <c r="D146" s="2" t="s">
        <v>792</v>
      </c>
      <c r="E146" s="3" t="s">
        <v>1949</v>
      </c>
      <c r="F146" s="3" t="s">
        <v>47</v>
      </c>
      <c r="G146" s="2" t="s">
        <v>782</v>
      </c>
      <c r="H146" s="3" t="s">
        <v>23</v>
      </c>
      <c r="I146" s="5">
        <v>11613721.49</v>
      </c>
      <c r="J146" s="5">
        <v>9290977.1899999995</v>
      </c>
      <c r="K146" s="3">
        <v>80</v>
      </c>
      <c r="L146" s="21">
        <f t="shared" si="5"/>
        <v>4645488.5959999999</v>
      </c>
      <c r="M146" s="5"/>
      <c r="N146" s="5">
        <v>9290977.1899999995</v>
      </c>
      <c r="O146" s="5">
        <f t="shared" si="6"/>
        <v>4645488.5959999999</v>
      </c>
      <c r="P146" s="19" t="s">
        <v>1983</v>
      </c>
      <c r="Q146" s="2" t="s">
        <v>2661</v>
      </c>
    </row>
    <row r="147" spans="1:17" ht="45" x14ac:dyDescent="0.2">
      <c r="A147" s="3" t="s">
        <v>20</v>
      </c>
      <c r="B147" s="3" t="s">
        <v>829</v>
      </c>
      <c r="C147" s="6" t="s">
        <v>42</v>
      </c>
      <c r="D147" s="2" t="s">
        <v>837</v>
      </c>
      <c r="E147" s="3" t="s">
        <v>1949</v>
      </c>
      <c r="F147" s="3" t="s">
        <v>47</v>
      </c>
      <c r="G147" s="2" t="s">
        <v>838</v>
      </c>
      <c r="H147" s="3" t="s">
        <v>23</v>
      </c>
      <c r="I147" s="5">
        <v>160000</v>
      </c>
      <c r="J147" s="5">
        <v>128000</v>
      </c>
      <c r="K147" s="3">
        <v>80</v>
      </c>
      <c r="L147" s="21">
        <f t="shared" si="5"/>
        <v>64000</v>
      </c>
      <c r="M147" s="5"/>
      <c r="N147" s="5">
        <v>128000</v>
      </c>
      <c r="O147" s="5">
        <f t="shared" si="6"/>
        <v>64000</v>
      </c>
      <c r="P147" s="19"/>
      <c r="Q147" s="2" t="s">
        <v>2083</v>
      </c>
    </row>
    <row r="148" spans="1:17" ht="30" x14ac:dyDescent="0.2">
      <c r="A148" s="3" t="s">
        <v>20</v>
      </c>
      <c r="B148" s="3" t="s">
        <v>839</v>
      </c>
      <c r="C148" s="6" t="s">
        <v>42</v>
      </c>
      <c r="D148" s="2" t="s">
        <v>843</v>
      </c>
      <c r="E148" s="3" t="s">
        <v>1949</v>
      </c>
      <c r="F148" s="3" t="s">
        <v>47</v>
      </c>
      <c r="G148" s="2" t="s">
        <v>841</v>
      </c>
      <c r="H148" s="3" t="s">
        <v>23</v>
      </c>
      <c r="I148" s="5">
        <v>208215.45</v>
      </c>
      <c r="J148" s="5">
        <v>166572.35999999999</v>
      </c>
      <c r="K148" s="3">
        <v>80</v>
      </c>
      <c r="L148" s="21">
        <f t="shared" si="5"/>
        <v>83286.180000000008</v>
      </c>
      <c r="M148" s="5"/>
      <c r="N148" s="5">
        <v>166572.35999999999</v>
      </c>
      <c r="O148" s="5">
        <f t="shared" si="6"/>
        <v>83286.180000000008</v>
      </c>
      <c r="P148" s="25">
        <v>45548</v>
      </c>
      <c r="Q148" s="2" t="s">
        <v>2083</v>
      </c>
    </row>
    <row r="149" spans="1:17" ht="45" x14ac:dyDescent="0.2">
      <c r="A149" s="3" t="s">
        <v>20</v>
      </c>
      <c r="B149" s="3" t="s">
        <v>844</v>
      </c>
      <c r="C149" s="6" t="s">
        <v>42</v>
      </c>
      <c r="D149" s="2" t="s">
        <v>860</v>
      </c>
      <c r="E149" s="3" t="s">
        <v>1949</v>
      </c>
      <c r="F149" s="3" t="s">
        <v>47</v>
      </c>
      <c r="G149" s="2" t="s">
        <v>845</v>
      </c>
      <c r="H149" s="3" t="s">
        <v>23</v>
      </c>
      <c r="I149" s="5">
        <v>1034917.2</v>
      </c>
      <c r="J149" s="5">
        <v>827933.76</v>
      </c>
      <c r="K149" s="3">
        <v>80</v>
      </c>
      <c r="L149" s="21">
        <f t="shared" si="5"/>
        <v>413966.88</v>
      </c>
      <c r="M149" s="5"/>
      <c r="N149" s="5">
        <v>827933.76</v>
      </c>
      <c r="O149" s="5">
        <f t="shared" si="6"/>
        <v>413966.88</v>
      </c>
      <c r="P149" s="25">
        <v>45566</v>
      </c>
      <c r="Q149" s="2" t="s">
        <v>2084</v>
      </c>
    </row>
    <row r="150" spans="1:17" ht="60" x14ac:dyDescent="0.2">
      <c r="A150" s="3" t="s">
        <v>20</v>
      </c>
      <c r="B150" s="3" t="s">
        <v>902</v>
      </c>
      <c r="C150" s="6" t="s">
        <v>42</v>
      </c>
      <c r="D150" s="2" t="s">
        <v>903</v>
      </c>
      <c r="E150" s="3" t="s">
        <v>1949</v>
      </c>
      <c r="F150" s="3" t="s">
        <v>47</v>
      </c>
      <c r="G150" s="2" t="s">
        <v>904</v>
      </c>
      <c r="H150" s="3" t="s">
        <v>23</v>
      </c>
      <c r="I150" s="5">
        <v>10938168</v>
      </c>
      <c r="J150" s="5">
        <v>8296000</v>
      </c>
      <c r="K150" s="3">
        <v>80</v>
      </c>
      <c r="L150" s="21">
        <f t="shared" si="5"/>
        <v>4375267.2</v>
      </c>
      <c r="M150" s="5"/>
      <c r="N150" s="5">
        <v>8296000</v>
      </c>
      <c r="O150" s="5">
        <f t="shared" si="6"/>
        <v>4375267.2</v>
      </c>
      <c r="P150" s="25">
        <v>45562</v>
      </c>
      <c r="Q150" s="2" t="s">
        <v>2919</v>
      </c>
    </row>
    <row r="151" spans="1:17" ht="60" x14ac:dyDescent="0.2">
      <c r="A151" s="3" t="s">
        <v>20</v>
      </c>
      <c r="B151" s="3" t="s">
        <v>936</v>
      </c>
      <c r="C151" s="6" t="s">
        <v>42</v>
      </c>
      <c r="D151" s="2" t="s">
        <v>946</v>
      </c>
      <c r="E151" s="3" t="s">
        <v>1949</v>
      </c>
      <c r="F151" s="3" t="s">
        <v>47</v>
      </c>
      <c r="G151" s="2" t="s">
        <v>937</v>
      </c>
      <c r="H151" s="3" t="s">
        <v>23</v>
      </c>
      <c r="I151" s="5">
        <v>1052352</v>
      </c>
      <c r="J151" s="5">
        <v>841881.59999999998</v>
      </c>
      <c r="K151" s="3">
        <v>80</v>
      </c>
      <c r="L151" s="21">
        <f t="shared" si="5"/>
        <v>420940.80000000005</v>
      </c>
      <c r="M151" s="5"/>
      <c r="N151" s="5">
        <v>841881.59999999998</v>
      </c>
      <c r="O151" s="5">
        <f t="shared" si="6"/>
        <v>420940.80000000005</v>
      </c>
      <c r="P151" s="19"/>
      <c r="Q151" s="2" t="s">
        <v>2920</v>
      </c>
    </row>
    <row r="152" spans="1:17" ht="30" x14ac:dyDescent="0.2">
      <c r="A152" s="3" t="s">
        <v>20</v>
      </c>
      <c r="B152" s="3" t="s">
        <v>947</v>
      </c>
      <c r="C152" s="6" t="s">
        <v>42</v>
      </c>
      <c r="D152" s="2" t="s">
        <v>954</v>
      </c>
      <c r="E152" s="3" t="s">
        <v>1949</v>
      </c>
      <c r="F152" s="3" t="s">
        <v>662</v>
      </c>
      <c r="G152" s="2" t="s">
        <v>948</v>
      </c>
      <c r="H152" s="3" t="s">
        <v>23</v>
      </c>
      <c r="I152" s="5">
        <v>1883935.8</v>
      </c>
      <c r="J152" s="5">
        <v>941967.9</v>
      </c>
      <c r="K152" s="3">
        <v>50</v>
      </c>
      <c r="L152" s="21">
        <f t="shared" si="5"/>
        <v>753574.32000000007</v>
      </c>
      <c r="M152" s="5"/>
      <c r="N152" s="5">
        <v>941967.9</v>
      </c>
      <c r="O152" s="5">
        <f t="shared" si="6"/>
        <v>753574.32000000007</v>
      </c>
      <c r="P152" s="19"/>
      <c r="Q152" s="2"/>
    </row>
    <row r="153" spans="1:17" ht="30" x14ac:dyDescent="0.2">
      <c r="A153" s="3" t="s">
        <v>20</v>
      </c>
      <c r="B153" s="2" t="s">
        <v>966</v>
      </c>
      <c r="C153" s="6" t="s">
        <v>42</v>
      </c>
      <c r="D153" s="2" t="s">
        <v>967</v>
      </c>
      <c r="E153" s="3" t="s">
        <v>1949</v>
      </c>
      <c r="F153" s="3" t="s">
        <v>47</v>
      </c>
      <c r="G153" s="2" t="s">
        <v>968</v>
      </c>
      <c r="H153" s="3" t="s">
        <v>23</v>
      </c>
      <c r="I153" s="5">
        <v>31752259.550000001</v>
      </c>
      <c r="J153" s="5">
        <v>25401807.640000001</v>
      </c>
      <c r="K153" s="3">
        <v>80</v>
      </c>
      <c r="L153" s="21">
        <f t="shared" si="5"/>
        <v>12700903.82</v>
      </c>
      <c r="M153" s="5"/>
      <c r="N153" s="5">
        <v>25401807.640000001</v>
      </c>
      <c r="O153" s="5">
        <f t="shared" si="6"/>
        <v>12700903.82</v>
      </c>
      <c r="P153" s="37" t="s">
        <v>2017</v>
      </c>
      <c r="Q153" s="2" t="s">
        <v>2662</v>
      </c>
    </row>
    <row r="154" spans="1:17" ht="45" x14ac:dyDescent="0.2">
      <c r="A154" s="3" t="s">
        <v>20</v>
      </c>
      <c r="B154" s="3" t="s">
        <v>976</v>
      </c>
      <c r="C154" s="6" t="s">
        <v>42</v>
      </c>
      <c r="D154" s="2" t="s">
        <v>981</v>
      </c>
      <c r="E154" s="3" t="s">
        <v>1949</v>
      </c>
      <c r="F154" s="3" t="s">
        <v>47</v>
      </c>
      <c r="G154" s="2" t="s">
        <v>982</v>
      </c>
      <c r="H154" s="3" t="s">
        <v>23</v>
      </c>
      <c r="I154" s="5">
        <v>3945900</v>
      </c>
      <c r="J154" s="5">
        <v>3156720</v>
      </c>
      <c r="K154" s="3">
        <v>80</v>
      </c>
      <c r="L154" s="21">
        <f t="shared" si="5"/>
        <v>1578360</v>
      </c>
      <c r="M154" s="5"/>
      <c r="N154" s="5">
        <v>3156720</v>
      </c>
      <c r="O154" s="5">
        <f t="shared" si="6"/>
        <v>1578360</v>
      </c>
      <c r="P154" s="38">
        <v>45566</v>
      </c>
      <c r="Q154" s="2" t="s">
        <v>2018</v>
      </c>
    </row>
    <row r="155" spans="1:17" ht="45" x14ac:dyDescent="0.2">
      <c r="A155" s="3" t="s">
        <v>20</v>
      </c>
      <c r="B155" s="3" t="s">
        <v>1006</v>
      </c>
      <c r="C155" s="6" t="s">
        <v>42</v>
      </c>
      <c r="D155" s="2" t="s">
        <v>1008</v>
      </c>
      <c r="E155" s="3" t="s">
        <v>2082</v>
      </c>
      <c r="F155" s="3" t="s">
        <v>126</v>
      </c>
      <c r="G155" s="2" t="s">
        <v>1007</v>
      </c>
      <c r="H155" s="3" t="s">
        <v>23</v>
      </c>
      <c r="I155" s="5">
        <v>476496</v>
      </c>
      <c r="J155" s="5">
        <v>238248</v>
      </c>
      <c r="K155" s="5">
        <v>190598.39999999999</v>
      </c>
      <c r="L155" s="5">
        <v>190598.39999999999</v>
      </c>
      <c r="M155" s="5"/>
      <c r="N155" s="5">
        <v>238248</v>
      </c>
      <c r="O155" s="5">
        <f t="shared" si="6"/>
        <v>190598.39999999999</v>
      </c>
      <c r="P155" s="42">
        <v>45545</v>
      </c>
      <c r="Q155" s="2" t="s">
        <v>2921</v>
      </c>
    </row>
    <row r="156" spans="1:17" ht="60" x14ac:dyDescent="0.2">
      <c r="A156" s="3" t="s">
        <v>20</v>
      </c>
      <c r="B156" s="2" t="s">
        <v>1068</v>
      </c>
      <c r="C156" s="6" t="s">
        <v>42</v>
      </c>
      <c r="D156" s="2" t="s">
        <v>1081</v>
      </c>
      <c r="E156" s="3" t="s">
        <v>1949</v>
      </c>
      <c r="F156" s="3" t="s">
        <v>47</v>
      </c>
      <c r="G156" s="2" t="s">
        <v>86</v>
      </c>
      <c r="H156" s="3" t="s">
        <v>23</v>
      </c>
      <c r="I156" s="5">
        <v>1053724650.48</v>
      </c>
      <c r="J156" s="5">
        <v>842979720.38</v>
      </c>
      <c r="K156" s="3">
        <v>80</v>
      </c>
      <c r="L156" s="21">
        <f t="shared" si="5"/>
        <v>421489860.19200003</v>
      </c>
      <c r="M156" s="5"/>
      <c r="N156" s="5">
        <v>842979720.38</v>
      </c>
      <c r="O156" s="5">
        <f t="shared" si="6"/>
        <v>421489860.19200003</v>
      </c>
      <c r="P156" s="5" t="s">
        <v>2922</v>
      </c>
      <c r="Q156" s="2" t="s">
        <v>2663</v>
      </c>
    </row>
    <row r="157" spans="1:17" ht="39" customHeight="1" x14ac:dyDescent="0.2">
      <c r="A157" s="3" t="s">
        <v>20</v>
      </c>
      <c r="B157" s="2" t="s">
        <v>1138</v>
      </c>
      <c r="C157" s="6" t="s">
        <v>42</v>
      </c>
      <c r="D157" s="2" t="s">
        <v>1139</v>
      </c>
      <c r="E157" s="3" t="s">
        <v>1949</v>
      </c>
      <c r="F157" s="3" t="s">
        <v>47</v>
      </c>
      <c r="G157" s="2" t="s">
        <v>1140</v>
      </c>
      <c r="H157" s="3" t="s">
        <v>23</v>
      </c>
      <c r="I157" s="5">
        <v>41796250</v>
      </c>
      <c r="J157" s="5">
        <v>33437000</v>
      </c>
      <c r="K157" s="3">
        <v>80</v>
      </c>
      <c r="L157" s="21">
        <f t="shared" si="5"/>
        <v>16718500</v>
      </c>
      <c r="M157" s="5"/>
      <c r="N157" s="5">
        <v>33437000</v>
      </c>
      <c r="O157" s="5">
        <f t="shared" si="6"/>
        <v>16718500</v>
      </c>
      <c r="P157" s="5" t="s">
        <v>2923</v>
      </c>
      <c r="Q157" s="2" t="s">
        <v>2924</v>
      </c>
    </row>
    <row r="158" spans="1:17" ht="30" x14ac:dyDescent="0.2">
      <c r="A158" s="3">
        <v>2.22418731510141E+24</v>
      </c>
      <c r="B158" s="2" t="s">
        <v>1171</v>
      </c>
      <c r="C158" s="6" t="s">
        <v>42</v>
      </c>
      <c r="D158" s="2" t="s">
        <v>1177</v>
      </c>
      <c r="E158" s="3" t="s">
        <v>1949</v>
      </c>
      <c r="F158" s="3" t="s">
        <v>47</v>
      </c>
      <c r="G158" s="2" t="s">
        <v>547</v>
      </c>
      <c r="H158" s="3" t="s">
        <v>23</v>
      </c>
      <c r="I158" s="5">
        <v>83850516</v>
      </c>
      <c r="J158" s="5">
        <v>67080412.799999997</v>
      </c>
      <c r="K158" s="3">
        <v>80</v>
      </c>
      <c r="L158" s="21">
        <f t="shared" si="5"/>
        <v>33540206.400000002</v>
      </c>
      <c r="M158" s="5"/>
      <c r="N158" s="5">
        <v>67080412.799999997</v>
      </c>
      <c r="O158" s="5">
        <f t="shared" si="6"/>
        <v>33540206.400000002</v>
      </c>
      <c r="P158" s="42">
        <v>45555</v>
      </c>
      <c r="Q158" s="2" t="s">
        <v>2925</v>
      </c>
    </row>
    <row r="159" spans="1:17" ht="30" x14ac:dyDescent="0.2">
      <c r="A159" s="3" t="s">
        <v>20</v>
      </c>
      <c r="B159" s="3" t="s">
        <v>1202</v>
      </c>
      <c r="C159" s="6" t="s">
        <v>42</v>
      </c>
      <c r="D159" s="2" t="s">
        <v>1203</v>
      </c>
      <c r="E159" s="3" t="s">
        <v>1949</v>
      </c>
      <c r="F159" s="3" t="s">
        <v>47</v>
      </c>
      <c r="G159" s="2" t="s">
        <v>1204</v>
      </c>
      <c r="H159" s="3" t="s">
        <v>23</v>
      </c>
      <c r="I159" s="5">
        <v>236429.16</v>
      </c>
      <c r="J159" s="5">
        <v>189143.33</v>
      </c>
      <c r="K159" s="3">
        <v>80</v>
      </c>
      <c r="L159" s="21">
        <f t="shared" si="5"/>
        <v>94571.664000000004</v>
      </c>
      <c r="M159" s="5"/>
      <c r="N159" s="5">
        <v>189143.33</v>
      </c>
      <c r="O159" s="5">
        <f t="shared" si="6"/>
        <v>94571.664000000004</v>
      </c>
      <c r="P159" s="19" t="s">
        <v>1983</v>
      </c>
      <c r="Q159" s="2" t="s">
        <v>2561</v>
      </c>
    </row>
    <row r="160" spans="1:17" ht="45" x14ac:dyDescent="0.2">
      <c r="A160" s="3" t="s">
        <v>20</v>
      </c>
      <c r="B160" s="3" t="s">
        <v>1262</v>
      </c>
      <c r="C160" s="6" t="s">
        <v>42</v>
      </c>
      <c r="D160" s="2" t="s">
        <v>1273</v>
      </c>
      <c r="E160" s="3" t="s">
        <v>1949</v>
      </c>
      <c r="F160" s="3" t="s">
        <v>47</v>
      </c>
      <c r="G160" s="2" t="s">
        <v>1270</v>
      </c>
      <c r="H160" s="3" t="s">
        <v>23</v>
      </c>
      <c r="I160" s="5">
        <v>4801068</v>
      </c>
      <c r="J160" s="5">
        <v>3840854.4</v>
      </c>
      <c r="K160" s="3">
        <v>80</v>
      </c>
      <c r="L160" s="21">
        <f t="shared" si="5"/>
        <v>1920427.2000000002</v>
      </c>
      <c r="M160" s="5"/>
      <c r="N160" s="5">
        <v>3840854.4</v>
      </c>
      <c r="O160" s="5">
        <f t="shared" si="6"/>
        <v>1920427.2000000002</v>
      </c>
      <c r="P160" s="19" t="s">
        <v>1983</v>
      </c>
      <c r="Q160" s="2" t="s">
        <v>2926</v>
      </c>
    </row>
    <row r="161" spans="1:18" x14ac:dyDescent="0.2">
      <c r="A161" s="3" t="s">
        <v>20</v>
      </c>
      <c r="B161" s="3" t="s">
        <v>1232</v>
      </c>
      <c r="C161" s="6">
        <v>429</v>
      </c>
      <c r="D161" s="2"/>
      <c r="E161" s="3" t="s">
        <v>1949</v>
      </c>
      <c r="F161" s="3" t="s">
        <v>47</v>
      </c>
      <c r="G161" s="2"/>
      <c r="H161" s="3"/>
      <c r="I161" s="5">
        <v>4481855.28</v>
      </c>
      <c r="J161" s="5">
        <f>I161*0.8</f>
        <v>3585484.2240000004</v>
      </c>
      <c r="K161" s="3"/>
      <c r="L161" s="21">
        <v>3585484.2240000004</v>
      </c>
      <c r="M161" s="5">
        <f>J161-N161</f>
        <v>3585484.2240000004</v>
      </c>
      <c r="N161" s="5">
        <v>0</v>
      </c>
      <c r="O161" s="5">
        <f t="shared" si="6"/>
        <v>0</v>
      </c>
      <c r="P161" s="25"/>
      <c r="Q161" s="2" t="s">
        <v>2078</v>
      </c>
    </row>
    <row r="162" spans="1:18" ht="48" customHeight="1" x14ac:dyDescent="0.2">
      <c r="A162" s="3" t="s">
        <v>20</v>
      </c>
      <c r="B162" s="2" t="s">
        <v>1288</v>
      </c>
      <c r="C162" s="6" t="s">
        <v>42</v>
      </c>
      <c r="D162" s="2" t="s">
        <v>1293</v>
      </c>
      <c r="E162" s="3" t="s">
        <v>1949</v>
      </c>
      <c r="F162" s="3" t="s">
        <v>47</v>
      </c>
      <c r="G162" s="2" t="s">
        <v>550</v>
      </c>
      <c r="H162" s="3" t="s">
        <v>23</v>
      </c>
      <c r="I162" s="5">
        <v>14802868.800000001</v>
      </c>
      <c r="J162" s="5">
        <v>11842295.039999999</v>
      </c>
      <c r="K162" s="3">
        <v>80</v>
      </c>
      <c r="L162" s="21">
        <f t="shared" si="5"/>
        <v>5921147.5200000005</v>
      </c>
      <c r="M162" s="5"/>
      <c r="N162" s="5">
        <v>11842295.039999999</v>
      </c>
      <c r="O162" s="5">
        <f t="shared" si="6"/>
        <v>5921147.5200000005</v>
      </c>
      <c r="P162" s="5" t="s">
        <v>1983</v>
      </c>
      <c r="Q162" s="2" t="s">
        <v>2927</v>
      </c>
    </row>
    <row r="163" spans="1:18" ht="48" customHeight="1" x14ac:dyDescent="0.2">
      <c r="A163" s="3" t="s">
        <v>20</v>
      </c>
      <c r="B163" s="2" t="s">
        <v>1642</v>
      </c>
      <c r="C163" s="6" t="s">
        <v>42</v>
      </c>
      <c r="D163" s="2" t="s">
        <v>1654</v>
      </c>
      <c r="E163" s="3" t="s">
        <v>1949</v>
      </c>
      <c r="F163" s="3" t="s">
        <v>47</v>
      </c>
      <c r="G163" s="2" t="s">
        <v>1647</v>
      </c>
      <c r="H163" s="3" t="s">
        <v>23</v>
      </c>
      <c r="I163" s="5">
        <v>16253607.6</v>
      </c>
      <c r="J163" s="5">
        <v>12313339.199999999</v>
      </c>
      <c r="K163" s="3">
        <v>76</v>
      </c>
      <c r="L163" s="21">
        <f t="shared" si="5"/>
        <v>6501443.04</v>
      </c>
      <c r="M163" s="5"/>
      <c r="N163" s="5">
        <v>12313339.199999999</v>
      </c>
      <c r="O163" s="5">
        <f t="shared" si="6"/>
        <v>6501443.04</v>
      </c>
      <c r="P163" s="5" t="s">
        <v>2017</v>
      </c>
      <c r="Q163" s="2" t="s">
        <v>2928</v>
      </c>
    </row>
    <row r="164" spans="1:18" ht="30" x14ac:dyDescent="0.2">
      <c r="A164" s="3" t="s">
        <v>20</v>
      </c>
      <c r="B164" s="3" t="s">
        <v>1655</v>
      </c>
      <c r="C164" s="2">
        <v>429</v>
      </c>
      <c r="D164" s="2" t="s">
        <v>1665</v>
      </c>
      <c r="E164" s="3" t="s">
        <v>1949</v>
      </c>
      <c r="F164" s="3" t="s">
        <v>179</v>
      </c>
      <c r="G164" s="2" t="s">
        <v>1666</v>
      </c>
      <c r="H164" s="3" t="s">
        <v>23</v>
      </c>
      <c r="I164" s="5">
        <v>3461913.36</v>
      </c>
      <c r="J164" s="5">
        <v>2769530.69</v>
      </c>
      <c r="K164" s="3">
        <v>80</v>
      </c>
      <c r="L164" s="21">
        <f t="shared" si="5"/>
        <v>1384765.344</v>
      </c>
      <c r="M164" s="5"/>
      <c r="N164" s="5">
        <v>2769530.69</v>
      </c>
      <c r="O164" s="5">
        <f t="shared" si="6"/>
        <v>1384765.344</v>
      </c>
      <c r="P164" s="25">
        <v>45566</v>
      </c>
      <c r="Q164" s="2" t="s">
        <v>2562</v>
      </c>
    </row>
    <row r="165" spans="1:18" ht="30" x14ac:dyDescent="0.2">
      <c r="A165" s="3" t="s">
        <v>20</v>
      </c>
      <c r="B165" s="2" t="s">
        <v>1669</v>
      </c>
      <c r="C165" s="6" t="s">
        <v>42</v>
      </c>
      <c r="D165" s="2" t="s">
        <v>1677</v>
      </c>
      <c r="E165" s="3" t="s">
        <v>1949</v>
      </c>
      <c r="F165" s="3" t="s">
        <v>47</v>
      </c>
      <c r="G165" s="2" t="s">
        <v>1678</v>
      </c>
      <c r="H165" s="3" t="s">
        <v>23</v>
      </c>
      <c r="I165" s="5">
        <v>25429390.920000002</v>
      </c>
      <c r="J165" s="5">
        <v>20343512.739999998</v>
      </c>
      <c r="K165" s="3">
        <v>80</v>
      </c>
      <c r="L165" s="21">
        <f t="shared" si="5"/>
        <v>10171756.368000001</v>
      </c>
      <c r="M165" s="5"/>
      <c r="N165" s="5">
        <v>20343512.739999998</v>
      </c>
      <c r="O165" s="5">
        <f t="shared" si="6"/>
        <v>10171756.368000001</v>
      </c>
      <c r="P165" s="19" t="s">
        <v>2017</v>
      </c>
      <c r="Q165" s="2" t="s">
        <v>2019</v>
      </c>
    </row>
    <row r="166" spans="1:18" ht="75" outlineLevel="2" x14ac:dyDescent="0.2">
      <c r="A166" s="3" t="s">
        <v>20</v>
      </c>
      <c r="B166" s="3" t="s">
        <v>1685</v>
      </c>
      <c r="C166" s="6" t="s">
        <v>42</v>
      </c>
      <c r="D166" s="2" t="s">
        <v>1697</v>
      </c>
      <c r="E166" s="3" t="s">
        <v>1949</v>
      </c>
      <c r="F166" s="3" t="s">
        <v>47</v>
      </c>
      <c r="G166" s="2" t="s">
        <v>1691</v>
      </c>
      <c r="H166" s="3" t="s">
        <v>23</v>
      </c>
      <c r="I166" s="5">
        <v>613584</v>
      </c>
      <c r="J166" s="5">
        <v>490867.20000000001</v>
      </c>
      <c r="K166" s="3">
        <v>80</v>
      </c>
      <c r="L166" s="21">
        <f t="shared" si="5"/>
        <v>245433.60000000001</v>
      </c>
      <c r="M166" s="5"/>
      <c r="N166" s="5">
        <v>490867.20000000001</v>
      </c>
      <c r="O166" s="5">
        <f t="shared" si="6"/>
        <v>245433.60000000001</v>
      </c>
      <c r="P166" s="5" t="s">
        <v>2923</v>
      </c>
      <c r="Q166" s="2" t="s">
        <v>2929</v>
      </c>
    </row>
    <row r="167" spans="1:18" ht="30" outlineLevel="2" x14ac:dyDescent="0.2">
      <c r="A167" s="3" t="s">
        <v>20</v>
      </c>
      <c r="B167" s="3" t="s">
        <v>1825</v>
      </c>
      <c r="C167" s="6" t="s">
        <v>42</v>
      </c>
      <c r="D167" s="2" t="s">
        <v>1828</v>
      </c>
      <c r="E167" s="3" t="s">
        <v>1949</v>
      </c>
      <c r="F167" s="3" t="s">
        <v>126</v>
      </c>
      <c r="G167" s="2" t="s">
        <v>1829</v>
      </c>
      <c r="H167" s="3" t="s">
        <v>23</v>
      </c>
      <c r="I167" s="5">
        <v>4800</v>
      </c>
      <c r="J167" s="5">
        <v>4800</v>
      </c>
      <c r="K167" s="3">
        <v>100</v>
      </c>
      <c r="L167" s="21">
        <f t="shared" si="5"/>
        <v>1920</v>
      </c>
      <c r="M167" s="5"/>
      <c r="N167" s="5">
        <v>4800</v>
      </c>
      <c r="O167" s="5">
        <f t="shared" si="6"/>
        <v>1920</v>
      </c>
      <c r="P167" s="5"/>
      <c r="Q167" s="2" t="s">
        <v>2020</v>
      </c>
    </row>
    <row r="168" spans="1:18" ht="30" outlineLevel="2" x14ac:dyDescent="0.2">
      <c r="A168" s="3" t="s">
        <v>20</v>
      </c>
      <c r="B168" s="3" t="s">
        <v>1842</v>
      </c>
      <c r="C168" s="6" t="s">
        <v>42</v>
      </c>
      <c r="D168" s="2" t="s">
        <v>1844</v>
      </c>
      <c r="E168" s="3" t="s">
        <v>1949</v>
      </c>
      <c r="F168" s="3" t="s">
        <v>47</v>
      </c>
      <c r="G168" s="2" t="s">
        <v>1843</v>
      </c>
      <c r="H168" s="3" t="s">
        <v>23</v>
      </c>
      <c r="I168" s="5">
        <v>225851.7</v>
      </c>
      <c r="J168" s="5">
        <v>180681.36</v>
      </c>
      <c r="K168" s="3">
        <v>80</v>
      </c>
      <c r="L168" s="21">
        <f t="shared" si="5"/>
        <v>90340.680000000008</v>
      </c>
      <c r="M168" s="5"/>
      <c r="N168" s="5">
        <v>180681.36</v>
      </c>
      <c r="O168" s="5">
        <f t="shared" si="6"/>
        <v>90340.680000000008</v>
      </c>
      <c r="P168" s="5" t="s">
        <v>1983</v>
      </c>
      <c r="Q168" s="2" t="s">
        <v>1993</v>
      </c>
    </row>
    <row r="169" spans="1:18" ht="30" outlineLevel="2" x14ac:dyDescent="0.2">
      <c r="A169" s="3" t="s">
        <v>20</v>
      </c>
      <c r="B169" s="3" t="s">
        <v>1842</v>
      </c>
      <c r="C169" s="6" t="s">
        <v>42</v>
      </c>
      <c r="D169" s="2" t="s">
        <v>1844</v>
      </c>
      <c r="E169" s="3" t="s">
        <v>1949</v>
      </c>
      <c r="F169" s="3" t="s">
        <v>1845</v>
      </c>
      <c r="G169" s="2" t="s">
        <v>1843</v>
      </c>
      <c r="H169" s="3" t="s">
        <v>23</v>
      </c>
      <c r="I169" s="5">
        <v>225851.7</v>
      </c>
      <c r="J169" s="5">
        <v>45170.34</v>
      </c>
      <c r="K169" s="3">
        <v>20</v>
      </c>
      <c r="L169" s="21">
        <f t="shared" si="5"/>
        <v>90340.680000000008</v>
      </c>
      <c r="M169" s="5"/>
      <c r="N169" s="5">
        <v>45170.34</v>
      </c>
      <c r="O169" s="5">
        <f t="shared" si="6"/>
        <v>90340.680000000008</v>
      </c>
      <c r="P169" s="5" t="s">
        <v>1983</v>
      </c>
      <c r="Q169" s="2" t="s">
        <v>1993</v>
      </c>
    </row>
    <row r="170" spans="1:18" ht="45" outlineLevel="2" x14ac:dyDescent="0.2">
      <c r="A170" s="3" t="s">
        <v>20</v>
      </c>
      <c r="B170" s="3" t="s">
        <v>1855</v>
      </c>
      <c r="C170" s="6" t="s">
        <v>42</v>
      </c>
      <c r="D170" s="2" t="s">
        <v>1861</v>
      </c>
      <c r="E170" s="3" t="s">
        <v>1949</v>
      </c>
      <c r="F170" s="3" t="s">
        <v>309</v>
      </c>
      <c r="G170" s="2" t="s">
        <v>1862</v>
      </c>
      <c r="H170" s="3" t="s">
        <v>1863</v>
      </c>
      <c r="I170" s="5">
        <v>34488</v>
      </c>
      <c r="J170" s="5">
        <v>34488</v>
      </c>
      <c r="K170" s="3">
        <v>100</v>
      </c>
      <c r="L170" s="21">
        <f t="shared" si="5"/>
        <v>13795.2</v>
      </c>
      <c r="M170" s="5"/>
      <c r="N170" s="5">
        <v>34488</v>
      </c>
      <c r="O170" s="5">
        <f t="shared" si="6"/>
        <v>13795.2</v>
      </c>
      <c r="P170" s="5" t="s">
        <v>1983</v>
      </c>
      <c r="Q170" s="2" t="s">
        <v>2930</v>
      </c>
    </row>
    <row r="171" spans="1:18" ht="45" outlineLevel="2" x14ac:dyDescent="0.2">
      <c r="A171" s="3" t="s">
        <v>20</v>
      </c>
      <c r="B171" s="2" t="s">
        <v>2578</v>
      </c>
      <c r="C171" s="6" t="s">
        <v>42</v>
      </c>
      <c r="D171" s="2" t="s">
        <v>1885</v>
      </c>
      <c r="E171" s="3" t="s">
        <v>1949</v>
      </c>
      <c r="F171" s="3" t="s">
        <v>47</v>
      </c>
      <c r="G171" s="2" t="s">
        <v>1886</v>
      </c>
      <c r="H171" s="39" t="s">
        <v>23</v>
      </c>
      <c r="I171" s="5">
        <v>834599.58</v>
      </c>
      <c r="J171" s="5">
        <v>667679.66</v>
      </c>
      <c r="K171" s="3">
        <v>80</v>
      </c>
      <c r="L171" s="21">
        <f t="shared" si="5"/>
        <v>333839.83199999999</v>
      </c>
      <c r="M171" s="5"/>
      <c r="N171" s="5">
        <v>667679.66</v>
      </c>
      <c r="O171" s="5">
        <f t="shared" si="6"/>
        <v>333839.83199999999</v>
      </c>
      <c r="P171" s="42">
        <v>45566</v>
      </c>
      <c r="Q171" s="2" t="s">
        <v>2085</v>
      </c>
    </row>
    <row r="172" spans="1:18" ht="60" outlineLevel="2" x14ac:dyDescent="0.2">
      <c r="A172" s="3" t="s">
        <v>20</v>
      </c>
      <c r="B172" s="3" t="s">
        <v>1887</v>
      </c>
      <c r="C172" s="6" t="s">
        <v>42</v>
      </c>
      <c r="D172" s="2" t="s">
        <v>1889</v>
      </c>
      <c r="E172" s="3" t="s">
        <v>1949</v>
      </c>
      <c r="F172" s="3" t="s">
        <v>126</v>
      </c>
      <c r="G172" s="2" t="s">
        <v>1888</v>
      </c>
      <c r="H172" s="3" t="s">
        <v>23</v>
      </c>
      <c r="I172" s="5">
        <v>1449242.64</v>
      </c>
      <c r="J172" s="5">
        <v>1449242.64</v>
      </c>
      <c r="K172" s="3">
        <v>100</v>
      </c>
      <c r="L172" s="21">
        <f t="shared" si="5"/>
        <v>579697.05599999998</v>
      </c>
      <c r="M172" s="5"/>
      <c r="N172" s="5">
        <v>1449242.64</v>
      </c>
      <c r="O172" s="5">
        <f t="shared" si="6"/>
        <v>579697.05599999998</v>
      </c>
      <c r="P172" s="35" t="s">
        <v>1983</v>
      </c>
      <c r="Q172" s="2" t="s">
        <v>2086</v>
      </c>
    </row>
    <row r="173" spans="1:18" ht="60" outlineLevel="2" x14ac:dyDescent="0.2">
      <c r="A173" s="3" t="s">
        <v>20</v>
      </c>
      <c r="B173" s="3" t="s">
        <v>1894</v>
      </c>
      <c r="C173" s="6" t="s">
        <v>42</v>
      </c>
      <c r="D173" s="2" t="s">
        <v>1903</v>
      </c>
      <c r="E173" s="3" t="s">
        <v>1949</v>
      </c>
      <c r="F173" s="3" t="s">
        <v>47</v>
      </c>
      <c r="G173" s="2" t="s">
        <v>1904</v>
      </c>
      <c r="H173" s="3" t="s">
        <v>23</v>
      </c>
      <c r="I173" s="5">
        <v>4394106</v>
      </c>
      <c r="J173" s="5">
        <v>3515284.8</v>
      </c>
      <c r="K173" s="3">
        <v>80</v>
      </c>
      <c r="L173" s="21">
        <f t="shared" si="5"/>
        <v>1757642.4000000001</v>
      </c>
      <c r="M173" s="5"/>
      <c r="N173" s="5">
        <v>3515284.8</v>
      </c>
      <c r="O173" s="5">
        <f t="shared" si="6"/>
        <v>1757642.4000000001</v>
      </c>
      <c r="P173" s="42">
        <v>45548</v>
      </c>
      <c r="Q173" s="2" t="s">
        <v>2931</v>
      </c>
    </row>
    <row r="174" spans="1:18" ht="60" outlineLevel="2" x14ac:dyDescent="0.2">
      <c r="A174" s="3" t="s">
        <v>20</v>
      </c>
      <c r="B174" s="3" t="s">
        <v>1915</v>
      </c>
      <c r="C174" s="6" t="s">
        <v>42</v>
      </c>
      <c r="D174" s="2" t="s">
        <v>2087</v>
      </c>
      <c r="E174" s="3" t="s">
        <v>1949</v>
      </c>
      <c r="F174" s="3" t="s">
        <v>47</v>
      </c>
      <c r="G174" s="2" t="s">
        <v>1916</v>
      </c>
      <c r="H174" s="3" t="s">
        <v>23</v>
      </c>
      <c r="I174" s="5">
        <v>4026541.59</v>
      </c>
      <c r="J174" s="5">
        <v>3221233.27</v>
      </c>
      <c r="K174" s="3">
        <v>80</v>
      </c>
      <c r="L174" s="21">
        <f t="shared" si="5"/>
        <v>1610616.6359999999</v>
      </c>
      <c r="M174" s="5"/>
      <c r="N174" s="5">
        <v>3221233.27</v>
      </c>
      <c r="O174" s="5">
        <f t="shared" si="6"/>
        <v>1610616.6359999999</v>
      </c>
      <c r="P174" s="25">
        <v>45566</v>
      </c>
      <c r="Q174" s="2" t="s">
        <v>2088</v>
      </c>
    </row>
    <row r="175" spans="1:18" ht="30" outlineLevel="1" x14ac:dyDescent="0.2">
      <c r="A175" s="3" t="s">
        <v>20</v>
      </c>
      <c r="B175" s="3" t="s">
        <v>1936</v>
      </c>
      <c r="C175" s="6" t="s">
        <v>42</v>
      </c>
      <c r="D175" s="2" t="s">
        <v>1942</v>
      </c>
      <c r="E175" s="3" t="s">
        <v>1949</v>
      </c>
      <c r="F175" s="3" t="s">
        <v>47</v>
      </c>
      <c r="G175" s="2" t="s">
        <v>1937</v>
      </c>
      <c r="H175" s="3" t="s">
        <v>23</v>
      </c>
      <c r="I175" s="5">
        <v>4425150</v>
      </c>
      <c r="J175" s="5">
        <v>3540120</v>
      </c>
      <c r="K175" s="3">
        <v>80</v>
      </c>
      <c r="L175" s="21">
        <f t="shared" si="5"/>
        <v>1770060</v>
      </c>
      <c r="M175" s="5"/>
      <c r="N175" s="5">
        <v>3540120</v>
      </c>
      <c r="O175" s="5">
        <f>L175-M175</f>
        <v>1770060</v>
      </c>
      <c r="P175" s="19"/>
      <c r="Q175" s="2" t="s">
        <v>2089</v>
      </c>
    </row>
    <row r="176" spans="1:18" x14ac:dyDescent="0.2">
      <c r="A176" s="145"/>
      <c r="B176" s="145"/>
      <c r="C176" s="146" t="s">
        <v>1948</v>
      </c>
      <c r="D176" s="2"/>
      <c r="E176" s="145"/>
      <c r="F176" s="3"/>
      <c r="G176" s="147"/>
      <c r="H176" s="3"/>
      <c r="I176" s="27">
        <f>SUBTOTAL(9,I79:I175)</f>
        <v>5558714833.6800022</v>
      </c>
      <c r="J176" s="27">
        <f>SUBTOTAL(9,J79:J175)</f>
        <v>3326001852.1760006</v>
      </c>
      <c r="K176" s="29"/>
      <c r="L176" s="148">
        <f>SUM(L79:L175)</f>
        <v>1999653061.868</v>
      </c>
      <c r="M176" s="148">
        <f>SUBTOTAL(9,M79:M175)</f>
        <v>733637480.75400019</v>
      </c>
      <c r="N176" s="27">
        <f>SUBTOTAL(9,N79:N175)</f>
        <v>2601536134.164</v>
      </c>
      <c r="O176" s="148">
        <f>SUBTOTAL(9,O79:O175)</f>
        <v>1266015581.1180005</v>
      </c>
      <c r="P176" s="28"/>
      <c r="Q176" s="29"/>
      <c r="R176" s="34"/>
    </row>
    <row r="177" spans="1:18" x14ac:dyDescent="0.2">
      <c r="A177" s="171" t="s">
        <v>20</v>
      </c>
      <c r="B177" s="171"/>
      <c r="C177" s="172" t="s">
        <v>1943</v>
      </c>
      <c r="D177" s="2"/>
      <c r="E177" s="171"/>
      <c r="F177" s="3"/>
      <c r="G177" s="184"/>
      <c r="H177" s="3"/>
      <c r="I177" s="27">
        <f>SUM(I11,I56,I78,I176)</f>
        <v>5865111193.3980026</v>
      </c>
      <c r="J177" s="27">
        <f>J11+J56+J78+J176</f>
        <v>3588336959.4600005</v>
      </c>
      <c r="K177" s="27"/>
      <c r="L177" s="173">
        <f>L11+L56+L78+L176</f>
        <v>2126623562.8759999</v>
      </c>
      <c r="M177" s="173">
        <f>M11+M56+M78+M176</f>
        <v>805521530.43400025</v>
      </c>
      <c r="N177" s="27">
        <f>N11+N56+N78+N176</f>
        <v>2789731233.7680001</v>
      </c>
      <c r="O177" s="173">
        <f>O11+O56+O78+O176</f>
        <v>1321102032.4460006</v>
      </c>
      <c r="P177" s="28"/>
      <c r="Q177" s="33"/>
      <c r="R177" s="34"/>
    </row>
    <row r="178" spans="1:18" s="44" customFormat="1" ht="48" customHeight="1" outlineLevel="2" x14ac:dyDescent="0.25">
      <c r="A178" s="3" t="s">
        <v>24</v>
      </c>
      <c r="B178" s="2" t="s">
        <v>1205</v>
      </c>
      <c r="C178" s="12" t="s">
        <v>49</v>
      </c>
      <c r="D178" s="2" t="s">
        <v>1206</v>
      </c>
      <c r="E178" s="3" t="s">
        <v>26</v>
      </c>
      <c r="F178" s="2" t="s">
        <v>1207</v>
      </c>
      <c r="G178" s="2" t="s">
        <v>1208</v>
      </c>
      <c r="H178" s="3" t="s">
        <v>107</v>
      </c>
      <c r="I178" s="5">
        <v>168000</v>
      </c>
      <c r="J178" s="5">
        <v>168000</v>
      </c>
      <c r="K178" s="12">
        <v>100</v>
      </c>
      <c r="L178" s="21">
        <v>168000</v>
      </c>
      <c r="M178" s="5">
        <v>168000</v>
      </c>
      <c r="N178" s="5"/>
      <c r="O178" s="5">
        <v>0</v>
      </c>
      <c r="P178" s="43"/>
      <c r="Q178" s="8" t="s">
        <v>2453</v>
      </c>
      <c r="R178" s="142"/>
    </row>
    <row r="179" spans="1:18" s="44" customFormat="1" ht="60" outlineLevel="2" x14ac:dyDescent="0.25">
      <c r="A179" s="3" t="s">
        <v>24</v>
      </c>
      <c r="B179" s="2" t="s">
        <v>102</v>
      </c>
      <c r="C179" s="12" t="s">
        <v>49</v>
      </c>
      <c r="D179" s="2" t="s">
        <v>106</v>
      </c>
      <c r="E179" s="3" t="s">
        <v>26</v>
      </c>
      <c r="F179" s="2" t="s">
        <v>31</v>
      </c>
      <c r="G179" s="2" t="s">
        <v>104</v>
      </c>
      <c r="H179" s="3" t="s">
        <v>107</v>
      </c>
      <c r="I179" s="5">
        <v>6891599.9299999997</v>
      </c>
      <c r="J179" s="5">
        <v>6891599.9299999997</v>
      </c>
      <c r="K179" s="12">
        <v>100</v>
      </c>
      <c r="L179" s="21">
        <v>6891599.9299999997</v>
      </c>
      <c r="M179" s="5">
        <v>6891599.9299999997</v>
      </c>
      <c r="N179" s="5"/>
      <c r="O179" s="5">
        <v>0</v>
      </c>
      <c r="P179" s="43"/>
      <c r="Q179" s="8" t="s">
        <v>2470</v>
      </c>
      <c r="R179" s="61"/>
    </row>
    <row r="180" spans="1:18" s="44" customFormat="1" ht="60" outlineLevel="2" x14ac:dyDescent="0.25">
      <c r="A180" s="3" t="s">
        <v>24</v>
      </c>
      <c r="B180" s="2" t="s">
        <v>102</v>
      </c>
      <c r="C180" s="12" t="s">
        <v>49</v>
      </c>
      <c r="D180" s="2" t="s">
        <v>108</v>
      </c>
      <c r="E180" s="3" t="s">
        <v>26</v>
      </c>
      <c r="F180" s="2" t="s">
        <v>27</v>
      </c>
      <c r="G180" s="2" t="s">
        <v>109</v>
      </c>
      <c r="H180" s="3" t="s">
        <v>110</v>
      </c>
      <c r="I180" s="5">
        <v>13762229.300000001</v>
      </c>
      <c r="J180" s="5">
        <v>13762229.300000001</v>
      </c>
      <c r="K180" s="12">
        <v>100</v>
      </c>
      <c r="L180" s="21">
        <v>13762229.300000001</v>
      </c>
      <c r="M180" s="5">
        <v>13762229.300000001</v>
      </c>
      <c r="N180" s="5"/>
      <c r="O180" s="5">
        <v>0</v>
      </c>
      <c r="P180" s="43"/>
      <c r="Q180" s="8" t="s">
        <v>2470</v>
      </c>
      <c r="R180" s="61"/>
    </row>
    <row r="181" spans="1:18" s="44" customFormat="1" ht="165" outlineLevel="2" x14ac:dyDescent="0.25">
      <c r="A181" s="3" t="s">
        <v>24</v>
      </c>
      <c r="B181" s="2" t="s">
        <v>421</v>
      </c>
      <c r="C181" s="12" t="s">
        <v>49</v>
      </c>
      <c r="D181" s="2" t="s">
        <v>429</v>
      </c>
      <c r="E181" s="3" t="s">
        <v>29</v>
      </c>
      <c r="F181" s="2" t="s">
        <v>182</v>
      </c>
      <c r="G181" s="2" t="s">
        <v>422</v>
      </c>
      <c r="H181" s="3" t="s">
        <v>107</v>
      </c>
      <c r="I181" s="5">
        <v>12561457.68</v>
      </c>
      <c r="J181" s="5">
        <v>10049166.140000001</v>
      </c>
      <c r="K181" s="12">
        <v>80</v>
      </c>
      <c r="L181" s="45">
        <v>5024583.07</v>
      </c>
      <c r="M181" s="5">
        <v>5024583.07</v>
      </c>
      <c r="N181" s="5">
        <v>5024583.07</v>
      </c>
      <c r="O181" s="5">
        <v>0</v>
      </c>
      <c r="P181" s="46"/>
      <c r="Q181" s="8" t="s">
        <v>2474</v>
      </c>
      <c r="R181" s="61"/>
    </row>
    <row r="182" spans="1:18" s="44" customFormat="1" ht="165" outlineLevel="2" x14ac:dyDescent="0.25">
      <c r="A182" s="3" t="s">
        <v>24</v>
      </c>
      <c r="B182" s="2" t="s">
        <v>421</v>
      </c>
      <c r="C182" s="12" t="s">
        <v>49</v>
      </c>
      <c r="D182" s="2" t="s">
        <v>430</v>
      </c>
      <c r="E182" s="3" t="s">
        <v>29</v>
      </c>
      <c r="F182" s="2" t="s">
        <v>182</v>
      </c>
      <c r="G182" s="2" t="s">
        <v>422</v>
      </c>
      <c r="H182" s="3" t="s">
        <v>107</v>
      </c>
      <c r="I182" s="5">
        <v>19128181.199999999</v>
      </c>
      <c r="J182" s="5">
        <v>15302544.960000001</v>
      </c>
      <c r="K182" s="12">
        <v>80</v>
      </c>
      <c r="L182" s="45">
        <v>7651272.4800000004</v>
      </c>
      <c r="M182" s="5">
        <v>7651272.4800000004</v>
      </c>
      <c r="N182" s="5">
        <v>7651272.4800000004</v>
      </c>
      <c r="O182" s="5">
        <v>0</v>
      </c>
      <c r="P182" s="46"/>
      <c r="Q182" s="8" t="s">
        <v>2474</v>
      </c>
      <c r="R182" s="61"/>
    </row>
    <row r="183" spans="1:18" s="44" customFormat="1" ht="165" outlineLevel="2" x14ac:dyDescent="0.25">
      <c r="A183" s="3" t="s">
        <v>24</v>
      </c>
      <c r="B183" s="2" t="s">
        <v>421</v>
      </c>
      <c r="C183" s="12" t="s">
        <v>49</v>
      </c>
      <c r="D183" s="2" t="s">
        <v>431</v>
      </c>
      <c r="E183" s="3" t="s">
        <v>29</v>
      </c>
      <c r="F183" s="2" t="s">
        <v>182</v>
      </c>
      <c r="G183" s="2" t="s">
        <v>422</v>
      </c>
      <c r="H183" s="3" t="s">
        <v>107</v>
      </c>
      <c r="I183" s="5">
        <v>10257468</v>
      </c>
      <c r="J183" s="5">
        <v>8205974.4000000004</v>
      </c>
      <c r="K183" s="12">
        <v>80</v>
      </c>
      <c r="L183" s="45">
        <v>4102987.2</v>
      </c>
      <c r="M183" s="5">
        <v>4102987.2</v>
      </c>
      <c r="N183" s="5">
        <v>4102987.2</v>
      </c>
      <c r="O183" s="5">
        <v>0</v>
      </c>
      <c r="P183" s="46"/>
      <c r="Q183" s="8" t="s">
        <v>2474</v>
      </c>
      <c r="R183" s="61"/>
    </row>
    <row r="184" spans="1:18" s="44" customFormat="1" ht="103.5" customHeight="1" outlineLevel="2" x14ac:dyDescent="0.25">
      <c r="A184" s="3" t="s">
        <v>24</v>
      </c>
      <c r="B184" s="2" t="s">
        <v>528</v>
      </c>
      <c r="C184" s="12" t="s">
        <v>49</v>
      </c>
      <c r="D184" s="2" t="s">
        <v>531</v>
      </c>
      <c r="E184" s="3" t="s">
        <v>26</v>
      </c>
      <c r="F184" s="2" t="s">
        <v>72</v>
      </c>
      <c r="G184" s="2" t="s">
        <v>529</v>
      </c>
      <c r="H184" s="3" t="s">
        <v>107</v>
      </c>
      <c r="I184" s="5">
        <v>17773106.039999999</v>
      </c>
      <c r="J184" s="5">
        <v>17773106.039999999</v>
      </c>
      <c r="K184" s="12">
        <v>100</v>
      </c>
      <c r="L184" s="21">
        <v>17773106.039999999</v>
      </c>
      <c r="M184" s="5">
        <v>17773106.039999999</v>
      </c>
      <c r="N184" s="5">
        <v>0</v>
      </c>
      <c r="O184" s="5">
        <v>0</v>
      </c>
      <c r="P184" s="46"/>
      <c r="Q184" s="8" t="s">
        <v>2539</v>
      </c>
      <c r="R184" s="61"/>
    </row>
    <row r="185" spans="1:18" s="44" customFormat="1" ht="300" outlineLevel="2" x14ac:dyDescent="0.25">
      <c r="A185" s="3" t="s">
        <v>24</v>
      </c>
      <c r="B185" s="2" t="s">
        <v>622</v>
      </c>
      <c r="C185" s="12" t="s">
        <v>49</v>
      </c>
      <c r="D185" s="2" t="s">
        <v>626</v>
      </c>
      <c r="E185" s="3" t="s">
        <v>29</v>
      </c>
      <c r="F185" s="2" t="s">
        <v>583</v>
      </c>
      <c r="G185" s="2" t="s">
        <v>623</v>
      </c>
      <c r="H185" s="3" t="s">
        <v>107</v>
      </c>
      <c r="I185" s="5">
        <v>3216780</v>
      </c>
      <c r="J185" s="5">
        <v>2895102</v>
      </c>
      <c r="K185" s="12">
        <v>90</v>
      </c>
      <c r="L185" s="45">
        <v>1286712</v>
      </c>
      <c r="M185" s="5">
        <v>1286712</v>
      </c>
      <c r="N185" s="5">
        <v>1608390</v>
      </c>
      <c r="O185" s="5">
        <v>0</v>
      </c>
      <c r="P185" s="46"/>
      <c r="Q185" s="8" t="s">
        <v>2877</v>
      </c>
      <c r="R185" s="61"/>
    </row>
    <row r="186" spans="1:18" s="44" customFormat="1" ht="30" outlineLevel="2" x14ac:dyDescent="0.25">
      <c r="A186" s="3" t="s">
        <v>24</v>
      </c>
      <c r="B186" s="2" t="s">
        <v>707</v>
      </c>
      <c r="C186" s="12" t="s">
        <v>49</v>
      </c>
      <c r="D186" s="2" t="s">
        <v>708</v>
      </c>
      <c r="E186" s="3" t="s">
        <v>26</v>
      </c>
      <c r="F186" s="2" t="s">
        <v>72</v>
      </c>
      <c r="G186" s="2" t="s">
        <v>709</v>
      </c>
      <c r="H186" s="3" t="s">
        <v>107</v>
      </c>
      <c r="I186" s="5">
        <v>740402.91</v>
      </c>
      <c r="J186" s="5">
        <v>740402.91</v>
      </c>
      <c r="K186" s="12">
        <v>100</v>
      </c>
      <c r="L186" s="45">
        <v>740402.91</v>
      </c>
      <c r="M186" s="5">
        <v>740402.91</v>
      </c>
      <c r="N186" s="5"/>
      <c r="O186" s="5">
        <v>0</v>
      </c>
      <c r="P186" s="46"/>
      <c r="Q186" s="46" t="s">
        <v>2455</v>
      </c>
      <c r="R186" s="61"/>
    </row>
    <row r="187" spans="1:18" s="44" customFormat="1" ht="45.75" customHeight="1" outlineLevel="2" x14ac:dyDescent="0.25">
      <c r="A187" s="3" t="s">
        <v>24</v>
      </c>
      <c r="B187" s="2" t="s">
        <v>710</v>
      </c>
      <c r="C187" s="12" t="s">
        <v>49</v>
      </c>
      <c r="D187" s="2" t="s">
        <v>711</v>
      </c>
      <c r="E187" s="3" t="s">
        <v>29</v>
      </c>
      <c r="F187" s="2" t="s">
        <v>712</v>
      </c>
      <c r="G187" s="2" t="s">
        <v>129</v>
      </c>
      <c r="H187" s="3" t="s">
        <v>107</v>
      </c>
      <c r="I187" s="5">
        <v>185028060</v>
      </c>
      <c r="J187" s="45">
        <v>65959584</v>
      </c>
      <c r="K187" s="12">
        <v>80</v>
      </c>
      <c r="L187" s="45">
        <v>32979792</v>
      </c>
      <c r="M187" s="5">
        <v>32979792</v>
      </c>
      <c r="N187" s="5">
        <v>32979792</v>
      </c>
      <c r="O187" s="5">
        <v>0</v>
      </c>
      <c r="P187" s="46"/>
      <c r="Q187" s="8" t="s">
        <v>2473</v>
      </c>
      <c r="R187" s="61"/>
    </row>
    <row r="188" spans="1:18" s="44" customFormat="1" ht="52.5" customHeight="1" outlineLevel="2" x14ac:dyDescent="0.25">
      <c r="A188" s="3" t="s">
        <v>24</v>
      </c>
      <c r="B188" s="2" t="s">
        <v>719</v>
      </c>
      <c r="C188" s="12" t="s">
        <v>49</v>
      </c>
      <c r="D188" s="2" t="s">
        <v>721</v>
      </c>
      <c r="E188" s="3" t="s">
        <v>29</v>
      </c>
      <c r="F188" s="2" t="s">
        <v>182</v>
      </c>
      <c r="G188" s="2" t="s">
        <v>422</v>
      </c>
      <c r="H188" s="3" t="s">
        <v>107</v>
      </c>
      <c r="I188" s="5">
        <v>2405753.92</v>
      </c>
      <c r="J188" s="5">
        <v>1924603.14</v>
      </c>
      <c r="K188" s="12">
        <v>80</v>
      </c>
      <c r="L188" s="21">
        <v>1924603.14</v>
      </c>
      <c r="M188" s="5">
        <v>1924603.14</v>
      </c>
      <c r="N188" s="5">
        <v>0</v>
      </c>
      <c r="O188" s="5">
        <v>0</v>
      </c>
      <c r="P188" s="46"/>
      <c r="Q188" s="46" t="s">
        <v>2456</v>
      </c>
      <c r="R188" s="61"/>
    </row>
    <row r="189" spans="1:18" s="44" customFormat="1" ht="45" outlineLevel="2" x14ac:dyDescent="0.25">
      <c r="A189" s="3" t="s">
        <v>24</v>
      </c>
      <c r="B189" s="2" t="s">
        <v>2504</v>
      </c>
      <c r="C189" s="12" t="s">
        <v>49</v>
      </c>
      <c r="D189" s="2" t="s">
        <v>1183</v>
      </c>
      <c r="E189" s="3" t="s">
        <v>26</v>
      </c>
      <c r="F189" s="2" t="s">
        <v>411</v>
      </c>
      <c r="G189" s="2" t="s">
        <v>169</v>
      </c>
      <c r="H189" s="3" t="s">
        <v>107</v>
      </c>
      <c r="I189" s="5">
        <v>703854</v>
      </c>
      <c r="J189" s="5">
        <v>703854</v>
      </c>
      <c r="K189" s="12">
        <v>100</v>
      </c>
      <c r="L189" s="21">
        <v>704557.86</v>
      </c>
      <c r="M189" s="5">
        <v>704557.86</v>
      </c>
      <c r="N189" s="5">
        <v>0</v>
      </c>
      <c r="O189" s="5">
        <v>0</v>
      </c>
      <c r="P189" s="46"/>
      <c r="Q189" s="8" t="s">
        <v>2475</v>
      </c>
      <c r="R189" s="61"/>
    </row>
    <row r="190" spans="1:18" s="44" customFormat="1" ht="30" outlineLevel="2" x14ac:dyDescent="0.25">
      <c r="A190" s="3" t="s">
        <v>24</v>
      </c>
      <c r="B190" s="2" t="s">
        <v>1682</v>
      </c>
      <c r="C190" s="12" t="s">
        <v>49</v>
      </c>
      <c r="D190" s="2" t="s">
        <v>1683</v>
      </c>
      <c r="E190" s="3" t="s">
        <v>29</v>
      </c>
      <c r="F190" s="2" t="s">
        <v>1684</v>
      </c>
      <c r="G190" s="2" t="s">
        <v>70</v>
      </c>
      <c r="H190" s="3" t="s">
        <v>107</v>
      </c>
      <c r="I190" s="5">
        <v>16104000</v>
      </c>
      <c r="J190" s="5">
        <v>16104000</v>
      </c>
      <c r="K190" s="12">
        <v>100</v>
      </c>
      <c r="L190" s="45">
        <v>16104000</v>
      </c>
      <c r="M190" s="5">
        <v>16104000</v>
      </c>
      <c r="N190" s="5"/>
      <c r="O190" s="5">
        <v>0</v>
      </c>
      <c r="P190" s="46"/>
      <c r="Q190" s="46" t="s">
        <v>2458</v>
      </c>
      <c r="R190" s="61"/>
    </row>
    <row r="191" spans="1:18" s="44" customFormat="1" ht="39.75" customHeight="1" outlineLevel="2" x14ac:dyDescent="0.25">
      <c r="A191" s="3" t="s">
        <v>24</v>
      </c>
      <c r="B191" s="2" t="s">
        <v>1803</v>
      </c>
      <c r="C191" s="12" t="s">
        <v>49</v>
      </c>
      <c r="D191" s="2" t="s">
        <v>1805</v>
      </c>
      <c r="E191" s="3" t="s">
        <v>26</v>
      </c>
      <c r="F191" s="2" t="s">
        <v>72</v>
      </c>
      <c r="G191" s="2" t="s">
        <v>1804</v>
      </c>
      <c r="H191" s="3" t="s">
        <v>107</v>
      </c>
      <c r="I191" s="5">
        <v>2101515.84</v>
      </c>
      <c r="J191" s="5">
        <v>2101515.84</v>
      </c>
      <c r="K191" s="12">
        <v>100</v>
      </c>
      <c r="L191" s="21">
        <v>2101515.84</v>
      </c>
      <c r="M191" s="5">
        <v>2101515.84</v>
      </c>
      <c r="N191" s="5"/>
      <c r="O191" s="5">
        <v>0</v>
      </c>
      <c r="P191" s="46"/>
      <c r="Q191" s="8" t="s">
        <v>2471</v>
      </c>
      <c r="R191" s="61"/>
    </row>
    <row r="192" spans="1:18" s="44" customFormat="1" ht="75" outlineLevel="2" x14ac:dyDescent="0.25">
      <c r="A192" s="3" t="s">
        <v>24</v>
      </c>
      <c r="B192" s="2" t="s">
        <v>1822</v>
      </c>
      <c r="C192" s="12" t="s">
        <v>49</v>
      </c>
      <c r="D192" s="2" t="s">
        <v>1823</v>
      </c>
      <c r="E192" s="3" t="s">
        <v>29</v>
      </c>
      <c r="F192" s="2" t="s">
        <v>182</v>
      </c>
      <c r="G192" s="2" t="s">
        <v>1810</v>
      </c>
      <c r="H192" s="3" t="s">
        <v>107</v>
      </c>
      <c r="I192" s="5">
        <v>2920014.44</v>
      </c>
      <c r="J192" s="5">
        <v>2336011.5499999998</v>
      </c>
      <c r="K192" s="12">
        <v>80</v>
      </c>
      <c r="L192" s="45">
        <v>1168005.77</v>
      </c>
      <c r="M192" s="5">
        <v>1168005.77</v>
      </c>
      <c r="N192" s="5">
        <v>1168005.7739999997</v>
      </c>
      <c r="O192" s="5">
        <v>0</v>
      </c>
      <c r="P192" s="41"/>
      <c r="Q192" s="8" t="s">
        <v>2476</v>
      </c>
      <c r="R192" s="61"/>
    </row>
    <row r="193" spans="1:18" s="44" customFormat="1" ht="30" outlineLevel="2" x14ac:dyDescent="0.25">
      <c r="A193" s="3" t="s">
        <v>24</v>
      </c>
      <c r="B193" s="2" t="s">
        <v>875</v>
      </c>
      <c r="C193" s="12" t="s">
        <v>49</v>
      </c>
      <c r="D193" s="2" t="s">
        <v>876</v>
      </c>
      <c r="E193" s="3" t="s">
        <v>26</v>
      </c>
      <c r="F193" s="2" t="s">
        <v>27</v>
      </c>
      <c r="G193" s="2" t="s">
        <v>877</v>
      </c>
      <c r="H193" s="3" t="s">
        <v>107</v>
      </c>
      <c r="I193" s="5">
        <v>538264</v>
      </c>
      <c r="J193" s="5">
        <v>538264</v>
      </c>
      <c r="K193" s="12">
        <v>100</v>
      </c>
      <c r="L193" s="21">
        <v>538264</v>
      </c>
      <c r="M193" s="5">
        <v>538264</v>
      </c>
      <c r="N193" s="5"/>
      <c r="O193" s="5">
        <v>0</v>
      </c>
      <c r="P193" s="46"/>
      <c r="Q193" s="46" t="s">
        <v>2459</v>
      </c>
      <c r="R193" s="61"/>
    </row>
    <row r="194" spans="1:18" s="44" customFormat="1" ht="63" customHeight="1" outlineLevel="2" x14ac:dyDescent="0.25">
      <c r="A194" s="3" t="s">
        <v>24</v>
      </c>
      <c r="B194" s="2" t="s">
        <v>247</v>
      </c>
      <c r="C194" s="12" t="s">
        <v>49</v>
      </c>
      <c r="D194" s="2" t="s">
        <v>2542</v>
      </c>
      <c r="E194" s="3" t="s">
        <v>29</v>
      </c>
      <c r="F194" s="2" t="s">
        <v>72</v>
      </c>
      <c r="G194" s="2" t="s">
        <v>248</v>
      </c>
      <c r="H194" s="3" t="s">
        <v>107</v>
      </c>
      <c r="I194" s="5">
        <v>13866000</v>
      </c>
      <c r="J194" s="5">
        <v>13866000</v>
      </c>
      <c r="K194" s="12">
        <v>100</v>
      </c>
      <c r="L194" s="45">
        <v>5546400</v>
      </c>
      <c r="M194" s="5"/>
      <c r="N194" s="5">
        <v>13866000</v>
      </c>
      <c r="O194" s="5">
        <v>5546400</v>
      </c>
      <c r="P194" s="43">
        <v>45551</v>
      </c>
      <c r="Q194" s="8" t="s">
        <v>2543</v>
      </c>
      <c r="R194" s="61"/>
    </row>
    <row r="195" spans="1:18" s="44" customFormat="1" ht="63" customHeight="1" outlineLevel="2" x14ac:dyDescent="0.25">
      <c r="A195" s="3" t="s">
        <v>24</v>
      </c>
      <c r="B195" s="2" t="s">
        <v>421</v>
      </c>
      <c r="C195" s="12" t="s">
        <v>49</v>
      </c>
      <c r="D195" s="2" t="s">
        <v>428</v>
      </c>
      <c r="E195" s="3" t="s">
        <v>29</v>
      </c>
      <c r="F195" s="2" t="s">
        <v>27</v>
      </c>
      <c r="G195" s="2" t="s">
        <v>422</v>
      </c>
      <c r="H195" s="3" t="s">
        <v>107</v>
      </c>
      <c r="I195" s="5">
        <v>27368877.600000001</v>
      </c>
      <c r="J195" s="5">
        <v>21895102.079999998</v>
      </c>
      <c r="K195" s="12">
        <v>80</v>
      </c>
      <c r="L195" s="45">
        <v>10947551.040000001</v>
      </c>
      <c r="M195" s="5">
        <v>10947551.040000001</v>
      </c>
      <c r="N195" s="5">
        <v>10947551.039999997</v>
      </c>
      <c r="O195" s="5">
        <v>0</v>
      </c>
      <c r="P195" s="46"/>
      <c r="Q195" s="8" t="s">
        <v>2505</v>
      </c>
      <c r="R195" s="61"/>
    </row>
    <row r="196" spans="1:18" s="44" customFormat="1" ht="30" outlineLevel="2" x14ac:dyDescent="0.25">
      <c r="A196" s="3" t="s">
        <v>24</v>
      </c>
      <c r="B196" s="2" t="s">
        <v>421</v>
      </c>
      <c r="C196" s="12" t="s">
        <v>49</v>
      </c>
      <c r="D196" s="2" t="s">
        <v>2601</v>
      </c>
      <c r="E196" s="3" t="s">
        <v>29</v>
      </c>
      <c r="F196" s="2" t="s">
        <v>72</v>
      </c>
      <c r="G196" s="2" t="s">
        <v>436</v>
      </c>
      <c r="H196" s="3" t="s">
        <v>107</v>
      </c>
      <c r="I196" s="5">
        <v>1055246.6399999999</v>
      </c>
      <c r="J196" s="5">
        <v>1055246.6399999999</v>
      </c>
      <c r="K196" s="12">
        <v>100</v>
      </c>
      <c r="L196" s="45">
        <v>422098.65599999996</v>
      </c>
      <c r="M196" s="5"/>
      <c r="N196" s="5">
        <v>1055246.6399999999</v>
      </c>
      <c r="O196" s="5">
        <v>422098.65599999996</v>
      </c>
      <c r="P196" s="43">
        <v>45536</v>
      </c>
      <c r="Q196" s="8" t="s">
        <v>2544</v>
      </c>
      <c r="R196" s="61"/>
    </row>
    <row r="197" spans="1:18" s="44" customFormat="1" ht="45" customHeight="1" outlineLevel="2" x14ac:dyDescent="0.25">
      <c r="A197" s="3" t="s">
        <v>24</v>
      </c>
      <c r="B197" s="2" t="s">
        <v>2506</v>
      </c>
      <c r="C197" s="12">
        <v>424</v>
      </c>
      <c r="D197" s="2" t="s">
        <v>2602</v>
      </c>
      <c r="E197" s="3" t="s">
        <v>29</v>
      </c>
      <c r="F197" s="2"/>
      <c r="G197" s="2" t="s">
        <v>2547</v>
      </c>
      <c r="H197" s="3"/>
      <c r="I197" s="5">
        <v>6396571.9500000002</v>
      </c>
      <c r="J197" s="5">
        <v>6396571.9500000002</v>
      </c>
      <c r="K197" s="12"/>
      <c r="L197" s="45">
        <v>5117257.5600000005</v>
      </c>
      <c r="M197" s="5"/>
      <c r="N197" s="5">
        <v>6396571.9500000002</v>
      </c>
      <c r="O197" s="5">
        <v>5117257.5600000005</v>
      </c>
      <c r="P197" s="43">
        <v>45536</v>
      </c>
      <c r="Q197" s="8" t="s">
        <v>2878</v>
      </c>
      <c r="R197" s="61"/>
    </row>
    <row r="198" spans="1:18" s="44" customFormat="1" ht="45" customHeight="1" outlineLevel="2" x14ac:dyDescent="0.25">
      <c r="A198" s="3" t="s">
        <v>24</v>
      </c>
      <c r="B198" s="2" t="s">
        <v>2605</v>
      </c>
      <c r="C198" s="12">
        <v>424</v>
      </c>
      <c r="D198" s="2" t="s">
        <v>2607</v>
      </c>
      <c r="E198" s="3" t="s">
        <v>29</v>
      </c>
      <c r="F198" s="2"/>
      <c r="G198" s="2" t="s">
        <v>422</v>
      </c>
      <c r="H198" s="3"/>
      <c r="I198" s="5">
        <v>36087130.799999997</v>
      </c>
      <c r="J198" s="5">
        <v>28869704.640000001</v>
      </c>
      <c r="K198" s="12"/>
      <c r="L198" s="45">
        <v>14434852.32</v>
      </c>
      <c r="M198" s="5"/>
      <c r="N198" s="5">
        <v>14434852.32</v>
      </c>
      <c r="O198" s="5">
        <v>14434852.32</v>
      </c>
      <c r="P198" s="41">
        <v>45547</v>
      </c>
      <c r="Q198" s="8" t="s">
        <v>2879</v>
      </c>
      <c r="R198" s="61"/>
    </row>
    <row r="199" spans="1:18" s="44" customFormat="1" ht="45" customHeight="1" outlineLevel="2" x14ac:dyDescent="0.25">
      <c r="A199" s="3" t="s">
        <v>24</v>
      </c>
      <c r="B199" s="2" t="s">
        <v>168</v>
      </c>
      <c r="C199" s="12" t="s">
        <v>49</v>
      </c>
      <c r="D199" s="2" t="s">
        <v>171</v>
      </c>
      <c r="E199" s="3" t="s">
        <v>1949</v>
      </c>
      <c r="F199" s="2" t="s">
        <v>72</v>
      </c>
      <c r="G199" s="2" t="s">
        <v>172</v>
      </c>
      <c r="H199" s="3" t="s">
        <v>107</v>
      </c>
      <c r="I199" s="5">
        <v>3100000</v>
      </c>
      <c r="J199" s="5">
        <v>3100000</v>
      </c>
      <c r="K199" s="12">
        <v>100</v>
      </c>
      <c r="L199" s="45">
        <v>1240000</v>
      </c>
      <c r="M199" s="5"/>
      <c r="N199" s="5">
        <v>3100000</v>
      </c>
      <c r="O199" s="5">
        <v>1240000</v>
      </c>
      <c r="P199" s="43">
        <v>45566</v>
      </c>
      <c r="Q199" s="8" t="s">
        <v>2880</v>
      </c>
      <c r="R199" s="61"/>
    </row>
    <row r="200" spans="1:18" s="44" customFormat="1" ht="45" customHeight="1" outlineLevel="2" x14ac:dyDescent="0.25">
      <c r="A200" s="3" t="s">
        <v>24</v>
      </c>
      <c r="B200" s="2" t="s">
        <v>719</v>
      </c>
      <c r="C200" s="12" t="s">
        <v>49</v>
      </c>
      <c r="D200" s="2" t="s">
        <v>722</v>
      </c>
      <c r="E200" s="3" t="s">
        <v>1949</v>
      </c>
      <c r="F200" s="2" t="s">
        <v>72</v>
      </c>
      <c r="G200" s="2" t="s">
        <v>723</v>
      </c>
      <c r="H200" s="3" t="s">
        <v>107</v>
      </c>
      <c r="I200" s="5">
        <v>3001383.55</v>
      </c>
      <c r="J200" s="5">
        <v>3001383.55</v>
      </c>
      <c r="K200" s="12">
        <v>100</v>
      </c>
      <c r="L200" s="45">
        <v>1200553.42</v>
      </c>
      <c r="M200" s="5"/>
      <c r="N200" s="5">
        <v>3001383.55</v>
      </c>
      <c r="O200" s="5">
        <v>1200553.42</v>
      </c>
      <c r="P200" s="43">
        <v>45536</v>
      </c>
      <c r="Q200" s="8" t="s">
        <v>2881</v>
      </c>
      <c r="R200" s="61"/>
    </row>
    <row r="201" spans="1:18" s="44" customFormat="1" ht="45" customHeight="1" outlineLevel="2" x14ac:dyDescent="0.25">
      <c r="A201" s="3" t="s">
        <v>24</v>
      </c>
      <c r="B201" s="2" t="s">
        <v>763</v>
      </c>
      <c r="C201" s="12" t="s">
        <v>49</v>
      </c>
      <c r="D201" s="2" t="s">
        <v>2545</v>
      </c>
      <c r="E201" s="3" t="s">
        <v>1949</v>
      </c>
      <c r="F201" s="2" t="s">
        <v>72</v>
      </c>
      <c r="G201" s="2" t="s">
        <v>435</v>
      </c>
      <c r="H201" s="3" t="s">
        <v>107</v>
      </c>
      <c r="I201" s="5">
        <v>3411676.8</v>
      </c>
      <c r="J201" s="5">
        <v>3411676.8</v>
      </c>
      <c r="K201" s="12">
        <v>100</v>
      </c>
      <c r="L201" s="45">
        <v>1364670.72</v>
      </c>
      <c r="M201" s="5"/>
      <c r="N201" s="5">
        <v>3411676.8</v>
      </c>
      <c r="O201" s="5">
        <v>1364670.72</v>
      </c>
      <c r="P201" s="46"/>
      <c r="Q201" s="8" t="s">
        <v>2876</v>
      </c>
      <c r="R201" s="63"/>
    </row>
    <row r="202" spans="1:18" s="44" customFormat="1" ht="45" outlineLevel="2" x14ac:dyDescent="0.25">
      <c r="A202" s="3" t="s">
        <v>24</v>
      </c>
      <c r="B202" s="2" t="s">
        <v>1315</v>
      </c>
      <c r="C202" s="12" t="s">
        <v>49</v>
      </c>
      <c r="D202" s="2" t="s">
        <v>1316</v>
      </c>
      <c r="E202" s="6" t="s">
        <v>1949</v>
      </c>
      <c r="F202" s="2" t="s">
        <v>72</v>
      </c>
      <c r="G202" s="2" t="s">
        <v>435</v>
      </c>
      <c r="H202" s="3" t="s">
        <v>107</v>
      </c>
      <c r="I202" s="5">
        <v>42464221.200000003</v>
      </c>
      <c r="J202" s="5">
        <v>42464221.200000003</v>
      </c>
      <c r="K202" s="12">
        <v>100</v>
      </c>
      <c r="L202" s="45">
        <v>16985688.48</v>
      </c>
      <c r="M202" s="5"/>
      <c r="N202" s="5">
        <v>42464221.200000003</v>
      </c>
      <c r="O202" s="5">
        <v>16985688.48</v>
      </c>
      <c r="P202" s="43">
        <v>45566</v>
      </c>
      <c r="Q202" s="8" t="s">
        <v>2875</v>
      </c>
      <c r="R202" s="61"/>
    </row>
    <row r="203" spans="1:18" s="44" customFormat="1" ht="60" outlineLevel="2" x14ac:dyDescent="0.25">
      <c r="A203" s="3" t="s">
        <v>24</v>
      </c>
      <c r="B203" s="2" t="s">
        <v>2506</v>
      </c>
      <c r="C203" s="12" t="s">
        <v>49</v>
      </c>
      <c r="D203" s="2" t="s">
        <v>2507</v>
      </c>
      <c r="E203" s="3" t="s">
        <v>1949</v>
      </c>
      <c r="F203" s="2" t="s">
        <v>433</v>
      </c>
      <c r="G203" s="2" t="s">
        <v>1317</v>
      </c>
      <c r="H203" s="3" t="s">
        <v>107</v>
      </c>
      <c r="I203" s="5">
        <v>32166744.699999999</v>
      </c>
      <c r="J203" s="5">
        <v>32166744.699999999</v>
      </c>
      <c r="K203" s="12">
        <v>80</v>
      </c>
      <c r="L203" s="45">
        <v>25733395.760000002</v>
      </c>
      <c r="M203" s="5"/>
      <c r="N203" s="5">
        <v>32166744.699999999</v>
      </c>
      <c r="O203" s="5">
        <v>25733395.760000002</v>
      </c>
      <c r="P203" s="43">
        <v>45566</v>
      </c>
      <c r="Q203" s="8" t="s">
        <v>2882</v>
      </c>
      <c r="R203" s="63"/>
    </row>
    <row r="204" spans="1:18" s="44" customFormat="1" ht="30" outlineLevel="2" x14ac:dyDescent="0.25">
      <c r="A204" s="3" t="s">
        <v>24</v>
      </c>
      <c r="B204" s="2" t="s">
        <v>1315</v>
      </c>
      <c r="C204" s="12" t="s">
        <v>49</v>
      </c>
      <c r="D204" s="2" t="s">
        <v>1321</v>
      </c>
      <c r="E204" s="6" t="s">
        <v>1949</v>
      </c>
      <c r="F204" s="2" t="s">
        <v>72</v>
      </c>
      <c r="G204" s="2" t="s">
        <v>1322</v>
      </c>
      <c r="H204" s="3" t="s">
        <v>107</v>
      </c>
      <c r="I204" s="5">
        <v>5000000</v>
      </c>
      <c r="J204" s="5">
        <v>5000000</v>
      </c>
      <c r="K204" s="12">
        <v>100</v>
      </c>
      <c r="L204" s="45">
        <v>2000000</v>
      </c>
      <c r="M204" s="5"/>
      <c r="N204" s="5">
        <v>5000000</v>
      </c>
      <c r="O204" s="5">
        <v>2000000</v>
      </c>
      <c r="P204" s="43"/>
      <c r="Q204" s="8" t="s">
        <v>2883</v>
      </c>
      <c r="R204" s="61"/>
    </row>
    <row r="205" spans="1:18" s="44" customFormat="1" ht="53.25" customHeight="1" outlineLevel="2" x14ac:dyDescent="0.25">
      <c r="A205" s="3" t="s">
        <v>24</v>
      </c>
      <c r="B205" s="2" t="s">
        <v>1315</v>
      </c>
      <c r="C205" s="12" t="s">
        <v>49</v>
      </c>
      <c r="D205" s="2" t="s">
        <v>1323</v>
      </c>
      <c r="E205" s="3" t="s">
        <v>1949</v>
      </c>
      <c r="F205" s="2" t="s">
        <v>72</v>
      </c>
      <c r="G205" s="2" t="s">
        <v>2884</v>
      </c>
      <c r="H205" s="3" t="s">
        <v>107</v>
      </c>
      <c r="I205" s="5">
        <v>80000000</v>
      </c>
      <c r="J205" s="5">
        <v>80000000</v>
      </c>
      <c r="K205" s="12">
        <v>100</v>
      </c>
      <c r="L205" s="45">
        <v>32000000</v>
      </c>
      <c r="M205" s="5"/>
      <c r="N205" s="5">
        <v>80000000</v>
      </c>
      <c r="O205" s="5">
        <v>32000000</v>
      </c>
      <c r="P205" s="46"/>
      <c r="Q205" s="8" t="s">
        <v>2883</v>
      </c>
      <c r="R205" s="63"/>
    </row>
    <row r="206" spans="1:18" s="44" customFormat="1" ht="30" outlineLevel="2" x14ac:dyDescent="0.25">
      <c r="A206" s="3" t="s">
        <v>24</v>
      </c>
      <c r="B206" s="2" t="s">
        <v>1315</v>
      </c>
      <c r="C206" s="12" t="s">
        <v>49</v>
      </c>
      <c r="D206" s="2" t="s">
        <v>1327</v>
      </c>
      <c r="E206" s="6" t="s">
        <v>1949</v>
      </c>
      <c r="F206" s="2" t="s">
        <v>72</v>
      </c>
      <c r="G206" s="2" t="s">
        <v>1328</v>
      </c>
      <c r="H206" s="3" t="s">
        <v>107</v>
      </c>
      <c r="I206" s="5">
        <v>5000000</v>
      </c>
      <c r="J206" s="5">
        <v>5000000</v>
      </c>
      <c r="K206" s="12">
        <v>100</v>
      </c>
      <c r="L206" s="45">
        <v>2000000</v>
      </c>
      <c r="M206" s="5"/>
      <c r="N206" s="5">
        <v>5000000</v>
      </c>
      <c r="O206" s="5">
        <v>2000000</v>
      </c>
      <c r="P206" s="46"/>
      <c r="Q206" s="8" t="s">
        <v>2883</v>
      </c>
      <c r="R206" s="61"/>
    </row>
    <row r="207" spans="1:18" s="44" customFormat="1" ht="61.5" customHeight="1" outlineLevel="2" x14ac:dyDescent="0.25">
      <c r="A207" s="3" t="s">
        <v>24</v>
      </c>
      <c r="B207" s="2" t="s">
        <v>2506</v>
      </c>
      <c r="C207" s="12">
        <v>424</v>
      </c>
      <c r="D207" s="2" t="s">
        <v>2546</v>
      </c>
      <c r="E207" s="3" t="s">
        <v>1949</v>
      </c>
      <c r="F207" s="2"/>
      <c r="G207" s="2" t="s">
        <v>2547</v>
      </c>
      <c r="H207" s="3"/>
      <c r="I207" s="5">
        <v>563538.52</v>
      </c>
      <c r="J207" s="5">
        <v>563538.52</v>
      </c>
      <c r="K207" s="12"/>
      <c r="L207" s="45">
        <v>225415.40800000002</v>
      </c>
      <c r="M207" s="5"/>
      <c r="N207" s="5">
        <v>563538.52</v>
      </c>
      <c r="O207" s="5">
        <v>225415.40800000002</v>
      </c>
      <c r="P207" s="43">
        <v>45566</v>
      </c>
      <c r="Q207" s="8" t="s">
        <v>2885</v>
      </c>
      <c r="R207" s="63"/>
    </row>
    <row r="208" spans="1:18" s="44" customFormat="1" ht="54" customHeight="1" outlineLevel="2" x14ac:dyDescent="0.25">
      <c r="A208" s="3" t="s">
        <v>24</v>
      </c>
      <c r="B208" s="2" t="s">
        <v>2508</v>
      </c>
      <c r="C208" s="12" t="s">
        <v>49</v>
      </c>
      <c r="D208" s="2" t="s">
        <v>1329</v>
      </c>
      <c r="E208" s="6" t="s">
        <v>1949</v>
      </c>
      <c r="F208" s="2" t="s">
        <v>72</v>
      </c>
      <c r="G208" s="2" t="s">
        <v>1330</v>
      </c>
      <c r="H208" s="3" t="s">
        <v>107</v>
      </c>
      <c r="I208" s="5">
        <v>29769843</v>
      </c>
      <c r="J208" s="5">
        <v>29769843</v>
      </c>
      <c r="K208" s="12">
        <v>100</v>
      </c>
      <c r="L208" s="45">
        <v>11907937.200000001</v>
      </c>
      <c r="M208" s="5"/>
      <c r="N208" s="5">
        <v>29769843</v>
      </c>
      <c r="O208" s="5">
        <v>11907937.200000001</v>
      </c>
      <c r="P208" s="43">
        <v>45536</v>
      </c>
      <c r="Q208" s="8" t="s">
        <v>2886</v>
      </c>
      <c r="R208" s="61"/>
    </row>
    <row r="209" spans="1:18" s="44" customFormat="1" ht="45" outlineLevel="2" x14ac:dyDescent="0.25">
      <c r="A209" s="3" t="s">
        <v>24</v>
      </c>
      <c r="B209" s="2" t="s">
        <v>2509</v>
      </c>
      <c r="C209" s="12" t="s">
        <v>49</v>
      </c>
      <c r="D209" s="2" t="s">
        <v>2510</v>
      </c>
      <c r="E209" s="3" t="s">
        <v>1949</v>
      </c>
      <c r="F209" s="2" t="s">
        <v>433</v>
      </c>
      <c r="G209" s="2" t="s">
        <v>1318</v>
      </c>
      <c r="H209" s="3" t="s">
        <v>107</v>
      </c>
      <c r="I209" s="5">
        <v>2362492.19</v>
      </c>
      <c r="J209" s="5">
        <v>2362492.19</v>
      </c>
      <c r="K209" s="12">
        <v>80</v>
      </c>
      <c r="L209" s="45">
        <v>1889993.75</v>
      </c>
      <c r="M209" s="5"/>
      <c r="N209" s="5">
        <v>2362492.19</v>
      </c>
      <c r="O209" s="5">
        <v>1889993.75</v>
      </c>
      <c r="P209" s="43">
        <v>45566</v>
      </c>
      <c r="Q209" s="8" t="s">
        <v>2887</v>
      </c>
      <c r="R209" s="63"/>
    </row>
    <row r="210" spans="1:18" s="44" customFormat="1" ht="51.75" customHeight="1" outlineLevel="2" x14ac:dyDescent="0.25">
      <c r="A210" s="3" t="s">
        <v>24</v>
      </c>
      <c r="B210" s="2" t="s">
        <v>2511</v>
      </c>
      <c r="C210" s="12" t="s">
        <v>49</v>
      </c>
      <c r="D210" s="2" t="s">
        <v>2512</v>
      </c>
      <c r="E210" s="3" t="s">
        <v>1949</v>
      </c>
      <c r="F210" s="2" t="s">
        <v>72</v>
      </c>
      <c r="G210" s="2" t="s">
        <v>1319</v>
      </c>
      <c r="H210" s="3" t="s">
        <v>107</v>
      </c>
      <c r="I210" s="5">
        <v>4893515.76</v>
      </c>
      <c r="J210" s="5">
        <v>4893515.76</v>
      </c>
      <c r="K210" s="12">
        <v>100</v>
      </c>
      <c r="L210" s="45">
        <v>1957406.304</v>
      </c>
      <c r="M210" s="5"/>
      <c r="N210" s="5">
        <v>4893515.76</v>
      </c>
      <c r="O210" s="5">
        <v>1957406.304</v>
      </c>
      <c r="P210" s="43">
        <v>45566</v>
      </c>
      <c r="Q210" s="8" t="s">
        <v>2888</v>
      </c>
      <c r="R210" s="143"/>
    </row>
    <row r="211" spans="1:18" s="44" customFormat="1" ht="81" customHeight="1" outlineLevel="2" x14ac:dyDescent="0.25">
      <c r="A211" s="3" t="s">
        <v>24</v>
      </c>
      <c r="B211" s="2" t="s">
        <v>2467</v>
      </c>
      <c r="C211" s="12" t="s">
        <v>49</v>
      </c>
      <c r="D211" s="2" t="s">
        <v>1331</v>
      </c>
      <c r="E211" s="3" t="s">
        <v>1949</v>
      </c>
      <c r="F211" s="2" t="s">
        <v>72</v>
      </c>
      <c r="G211" s="2" t="s">
        <v>1326</v>
      </c>
      <c r="H211" s="3" t="s">
        <v>107</v>
      </c>
      <c r="I211" s="5">
        <v>940678.99</v>
      </c>
      <c r="J211" s="5">
        <v>940678.99</v>
      </c>
      <c r="K211" s="12">
        <v>100</v>
      </c>
      <c r="L211" s="45">
        <v>376271.59600000002</v>
      </c>
      <c r="M211" s="5"/>
      <c r="N211" s="5">
        <v>940678.99</v>
      </c>
      <c r="O211" s="5">
        <v>376271.59600000002</v>
      </c>
      <c r="P211" s="43">
        <v>45536</v>
      </c>
      <c r="Q211" s="8" t="s">
        <v>2889</v>
      </c>
      <c r="R211" s="61"/>
    </row>
    <row r="212" spans="1:18" s="44" customFormat="1" ht="13.5" customHeight="1" outlineLevel="1" x14ac:dyDescent="0.25">
      <c r="A212" s="145"/>
      <c r="B212" s="147"/>
      <c r="C212" s="154" t="s">
        <v>1945</v>
      </c>
      <c r="D212" s="2"/>
      <c r="E212" s="145"/>
      <c r="F212" s="2"/>
      <c r="G212" s="147"/>
      <c r="H212" s="3"/>
      <c r="I212" s="27">
        <f>SUBTOTAL(9,I178:I211)</f>
        <v>591748608.96000004</v>
      </c>
      <c r="J212" s="27">
        <f t="shared" ref="J212:O212" si="7">SUBTOTAL(9,J178:J211)</f>
        <v>450212678.22999996</v>
      </c>
      <c r="K212" s="27">
        <f t="shared" si="7"/>
        <v>2910</v>
      </c>
      <c r="L212" s="148">
        <f t="shared" si="7"/>
        <v>248271123.75399992</v>
      </c>
      <c r="M212" s="148">
        <f t="shared" si="7"/>
        <v>123869182.58000001</v>
      </c>
      <c r="N212" s="27">
        <f t="shared" si="7"/>
        <v>311909347.18399996</v>
      </c>
      <c r="O212" s="148">
        <f t="shared" si="7"/>
        <v>124401941.17400002</v>
      </c>
      <c r="P212" s="48"/>
      <c r="Q212" s="16"/>
      <c r="R212" s="61"/>
    </row>
    <row r="213" spans="1:18" s="44" customFormat="1" ht="30" outlineLevel="2" x14ac:dyDescent="0.25">
      <c r="A213" s="3" t="s">
        <v>24</v>
      </c>
      <c r="B213" s="2" t="s">
        <v>532</v>
      </c>
      <c r="C213" s="12" t="s">
        <v>39</v>
      </c>
      <c r="D213" s="2" t="s">
        <v>535</v>
      </c>
      <c r="E213" s="3" t="s">
        <v>26</v>
      </c>
      <c r="F213" s="2" t="s">
        <v>27</v>
      </c>
      <c r="G213" s="2" t="s">
        <v>534</v>
      </c>
      <c r="H213" s="3" t="s">
        <v>166</v>
      </c>
      <c r="I213" s="5">
        <v>144900</v>
      </c>
      <c r="J213" s="5">
        <v>144900</v>
      </c>
      <c r="K213" s="50">
        <v>1</v>
      </c>
      <c r="L213" s="21">
        <v>144900</v>
      </c>
      <c r="M213" s="5">
        <v>144900</v>
      </c>
      <c r="N213" s="5">
        <f t="shared" ref="N213:N269" si="8">J213-M213</f>
        <v>0</v>
      </c>
      <c r="O213" s="5">
        <f t="shared" ref="O213:O269" si="9">L213-M213</f>
        <v>0</v>
      </c>
      <c r="P213" s="51"/>
      <c r="Q213" s="8"/>
      <c r="R213" s="61"/>
    </row>
    <row r="214" spans="1:18" s="44" customFormat="1" ht="30" outlineLevel="2" x14ac:dyDescent="0.25">
      <c r="A214" s="3" t="s">
        <v>24</v>
      </c>
      <c r="B214" s="2" t="s">
        <v>1930</v>
      </c>
      <c r="C214" s="12" t="s">
        <v>39</v>
      </c>
      <c r="D214" s="2" t="s">
        <v>1932</v>
      </c>
      <c r="E214" s="3" t="s">
        <v>29</v>
      </c>
      <c r="F214" s="2" t="s">
        <v>567</v>
      </c>
      <c r="G214" s="2" t="s">
        <v>804</v>
      </c>
      <c r="H214" s="3" t="s">
        <v>107</v>
      </c>
      <c r="I214" s="5">
        <v>21901182</v>
      </c>
      <c r="J214" s="5">
        <v>17520945.600000001</v>
      </c>
      <c r="K214" s="50">
        <v>0.8</v>
      </c>
      <c r="L214" s="45">
        <f t="shared" ref="L214:L270" si="10">I214*40%</f>
        <v>8760472.8000000007</v>
      </c>
      <c r="M214" s="5"/>
      <c r="N214" s="5">
        <f t="shared" si="8"/>
        <v>17520945.600000001</v>
      </c>
      <c r="O214" s="5">
        <f t="shared" si="9"/>
        <v>8760472.8000000007</v>
      </c>
      <c r="P214" s="52" t="s">
        <v>2487</v>
      </c>
      <c r="Q214" s="8" t="s">
        <v>2818</v>
      </c>
      <c r="R214" s="61"/>
    </row>
    <row r="215" spans="1:18" s="44" customFormat="1" ht="30" outlineLevel="2" x14ac:dyDescent="0.25">
      <c r="A215" s="3" t="s">
        <v>24</v>
      </c>
      <c r="B215" s="2" t="s">
        <v>301</v>
      </c>
      <c r="C215" s="12" t="s">
        <v>39</v>
      </c>
      <c r="D215" s="2" t="s">
        <v>303</v>
      </c>
      <c r="E215" s="3" t="s">
        <v>29</v>
      </c>
      <c r="F215" s="2" t="s">
        <v>257</v>
      </c>
      <c r="G215" s="2" t="s">
        <v>302</v>
      </c>
      <c r="H215" s="3" t="s">
        <v>304</v>
      </c>
      <c r="I215" s="5">
        <v>599192.1</v>
      </c>
      <c r="J215" s="5">
        <v>599192.1</v>
      </c>
      <c r="K215" s="12">
        <v>100</v>
      </c>
      <c r="L215" s="21">
        <v>599192.1</v>
      </c>
      <c r="M215" s="5">
        <v>599192.1</v>
      </c>
      <c r="N215" s="5">
        <f t="shared" si="8"/>
        <v>0</v>
      </c>
      <c r="O215" s="5">
        <f t="shared" si="9"/>
        <v>0</v>
      </c>
      <c r="P215" s="51"/>
      <c r="Q215" s="8"/>
      <c r="R215" s="61"/>
    </row>
    <row r="216" spans="1:18" s="44" customFormat="1" ht="60" outlineLevel="2" x14ac:dyDescent="0.25">
      <c r="A216" s="3" t="s">
        <v>24</v>
      </c>
      <c r="B216" s="2" t="s">
        <v>520</v>
      </c>
      <c r="C216" s="12" t="s">
        <v>39</v>
      </c>
      <c r="D216" s="2" t="s">
        <v>523</v>
      </c>
      <c r="E216" s="3" t="s">
        <v>29</v>
      </c>
      <c r="F216" s="2" t="s">
        <v>167</v>
      </c>
      <c r="G216" s="2" t="s">
        <v>521</v>
      </c>
      <c r="H216" s="3" t="s">
        <v>524</v>
      </c>
      <c r="I216" s="5">
        <v>970225</v>
      </c>
      <c r="J216" s="5">
        <v>970225</v>
      </c>
      <c r="K216" s="12">
        <v>100</v>
      </c>
      <c r="L216" s="45">
        <f t="shared" si="10"/>
        <v>388090</v>
      </c>
      <c r="M216" s="5"/>
      <c r="N216" s="5">
        <f t="shared" si="8"/>
        <v>970225</v>
      </c>
      <c r="O216" s="5">
        <f t="shared" si="9"/>
        <v>388090</v>
      </c>
      <c r="P216" s="51" t="s">
        <v>2819</v>
      </c>
      <c r="Q216" s="8" t="s">
        <v>2803</v>
      </c>
      <c r="R216" s="61"/>
    </row>
    <row r="217" spans="1:18" s="44" customFormat="1" ht="30" outlineLevel="2" x14ac:dyDescent="0.25">
      <c r="A217" s="3" t="s">
        <v>24</v>
      </c>
      <c r="B217" s="2" t="s">
        <v>673</v>
      </c>
      <c r="C217" s="12" t="s">
        <v>39</v>
      </c>
      <c r="D217" s="2" t="s">
        <v>676</v>
      </c>
      <c r="E217" s="3" t="s">
        <v>29</v>
      </c>
      <c r="F217" s="2" t="s">
        <v>677</v>
      </c>
      <c r="G217" s="2" t="s">
        <v>674</v>
      </c>
      <c r="H217" s="3" t="s">
        <v>107</v>
      </c>
      <c r="I217" s="5">
        <v>751545</v>
      </c>
      <c r="J217" s="5">
        <v>751545</v>
      </c>
      <c r="K217" s="12">
        <v>100</v>
      </c>
      <c r="L217" s="45">
        <f t="shared" si="10"/>
        <v>300618</v>
      </c>
      <c r="M217" s="5"/>
      <c r="N217" s="5">
        <f t="shared" si="8"/>
        <v>751545</v>
      </c>
      <c r="O217" s="5">
        <f t="shared" si="9"/>
        <v>300618</v>
      </c>
      <c r="P217" s="51" t="s">
        <v>2615</v>
      </c>
      <c r="Q217" s="8"/>
      <c r="R217" s="61"/>
    </row>
    <row r="218" spans="1:18" s="44" customFormat="1" outlineLevel="2" x14ac:dyDescent="0.25">
      <c r="A218" s="3" t="s">
        <v>24</v>
      </c>
      <c r="B218" s="2" t="s">
        <v>1767</v>
      </c>
      <c r="C218" s="12" t="s">
        <v>39</v>
      </c>
      <c r="D218" s="2" t="s">
        <v>1769</v>
      </c>
      <c r="E218" s="3" t="s">
        <v>29</v>
      </c>
      <c r="F218" s="2" t="s">
        <v>27</v>
      </c>
      <c r="G218" s="2" t="s">
        <v>1768</v>
      </c>
      <c r="H218" s="3" t="s">
        <v>78</v>
      </c>
      <c r="I218" s="5">
        <v>38400</v>
      </c>
      <c r="J218" s="5">
        <v>38400</v>
      </c>
      <c r="K218" s="12">
        <v>100</v>
      </c>
      <c r="L218" s="45">
        <f t="shared" si="10"/>
        <v>15360</v>
      </c>
      <c r="M218" s="5"/>
      <c r="N218" s="5">
        <f t="shared" si="8"/>
        <v>38400</v>
      </c>
      <c r="O218" s="5">
        <f t="shared" si="9"/>
        <v>15360</v>
      </c>
      <c r="P218" s="51"/>
      <c r="Q218" s="8" t="s">
        <v>2616</v>
      </c>
      <c r="R218" s="61"/>
    </row>
    <row r="219" spans="1:18" s="44" customFormat="1" ht="30" outlineLevel="2" x14ac:dyDescent="0.25">
      <c r="A219" s="3" t="s">
        <v>24</v>
      </c>
      <c r="B219" s="2" t="s">
        <v>1627</v>
      </c>
      <c r="C219" s="12" t="s">
        <v>39</v>
      </c>
      <c r="D219" s="2" t="s">
        <v>1630</v>
      </c>
      <c r="E219" s="3" t="s">
        <v>29</v>
      </c>
      <c r="F219" s="2" t="s">
        <v>167</v>
      </c>
      <c r="G219" s="2" t="s">
        <v>1628</v>
      </c>
      <c r="H219" s="3" t="s">
        <v>524</v>
      </c>
      <c r="I219" s="5">
        <v>182817</v>
      </c>
      <c r="J219" s="5">
        <v>182817</v>
      </c>
      <c r="K219" s="12">
        <v>100</v>
      </c>
      <c r="L219" s="45">
        <f t="shared" si="10"/>
        <v>73126.8</v>
      </c>
      <c r="M219" s="5"/>
      <c r="N219" s="5">
        <f t="shared" si="8"/>
        <v>182817</v>
      </c>
      <c r="O219" s="5">
        <f t="shared" si="9"/>
        <v>73126.8</v>
      </c>
      <c r="P219" s="51"/>
      <c r="Q219" s="8" t="s">
        <v>2617</v>
      </c>
      <c r="R219" s="61"/>
    </row>
    <row r="220" spans="1:18" s="44" customFormat="1" ht="30" outlineLevel="2" x14ac:dyDescent="0.25">
      <c r="A220" s="3" t="s">
        <v>24</v>
      </c>
      <c r="B220" s="2" t="s">
        <v>161</v>
      </c>
      <c r="C220" s="12" t="s">
        <v>39</v>
      </c>
      <c r="D220" s="2" t="s">
        <v>164</v>
      </c>
      <c r="E220" s="3" t="s">
        <v>1949</v>
      </c>
      <c r="F220" s="2" t="s">
        <v>165</v>
      </c>
      <c r="G220" s="2" t="s">
        <v>162</v>
      </c>
      <c r="H220" s="3" t="s">
        <v>166</v>
      </c>
      <c r="I220" s="5">
        <v>115976.38</v>
      </c>
      <c r="J220" s="5">
        <v>115976.38</v>
      </c>
      <c r="K220" s="12">
        <v>100</v>
      </c>
      <c r="L220" s="45">
        <f t="shared" si="10"/>
        <v>46390.552000000003</v>
      </c>
      <c r="M220" s="5"/>
      <c r="N220" s="5">
        <f t="shared" si="8"/>
        <v>115976.38</v>
      </c>
      <c r="O220" s="5">
        <f t="shared" si="9"/>
        <v>46390.552000000003</v>
      </c>
      <c r="P220" s="51" t="s">
        <v>2489</v>
      </c>
      <c r="Q220" s="8" t="s">
        <v>2820</v>
      </c>
      <c r="R220" s="61"/>
    </row>
    <row r="221" spans="1:18" s="44" customFormat="1" ht="30" outlineLevel="2" x14ac:dyDescent="0.25">
      <c r="A221" s="3" t="s">
        <v>24</v>
      </c>
      <c r="B221" s="2" t="s">
        <v>161</v>
      </c>
      <c r="C221" s="12" t="s">
        <v>39</v>
      </c>
      <c r="D221" s="2" t="s">
        <v>164</v>
      </c>
      <c r="E221" s="3" t="s">
        <v>1949</v>
      </c>
      <c r="F221" s="2" t="s">
        <v>167</v>
      </c>
      <c r="G221" s="2" t="s">
        <v>162</v>
      </c>
      <c r="H221" s="3" t="s">
        <v>166</v>
      </c>
      <c r="I221" s="5">
        <v>97804.34</v>
      </c>
      <c r="J221" s="5">
        <v>97804.34</v>
      </c>
      <c r="K221" s="12">
        <v>100</v>
      </c>
      <c r="L221" s="45">
        <f t="shared" si="10"/>
        <v>39121.735999999997</v>
      </c>
      <c r="M221" s="5"/>
      <c r="N221" s="5">
        <f t="shared" si="8"/>
        <v>97804.34</v>
      </c>
      <c r="O221" s="5">
        <f t="shared" si="9"/>
        <v>39121.735999999997</v>
      </c>
      <c r="P221" s="51" t="s">
        <v>2489</v>
      </c>
      <c r="Q221" s="8" t="s">
        <v>2820</v>
      </c>
      <c r="R221" s="61"/>
    </row>
    <row r="222" spans="1:18" s="44" customFormat="1" ht="30" outlineLevel="2" x14ac:dyDescent="0.25">
      <c r="A222" s="3" t="s">
        <v>24</v>
      </c>
      <c r="B222" s="2" t="s">
        <v>239</v>
      </c>
      <c r="C222" s="12" t="s">
        <v>39</v>
      </c>
      <c r="D222" s="2" t="s">
        <v>242</v>
      </c>
      <c r="E222" s="3" t="s">
        <v>1949</v>
      </c>
      <c r="F222" s="2" t="s">
        <v>67</v>
      </c>
      <c r="G222" s="2" t="s">
        <v>241</v>
      </c>
      <c r="H222" s="3" t="s">
        <v>166</v>
      </c>
      <c r="I222" s="5">
        <v>80937.960000000006</v>
      </c>
      <c r="J222" s="5">
        <v>64750.37</v>
      </c>
      <c r="K222" s="12">
        <v>80</v>
      </c>
      <c r="L222" s="45">
        <f t="shared" si="10"/>
        <v>32375.184000000005</v>
      </c>
      <c r="M222" s="5"/>
      <c r="N222" s="5">
        <f t="shared" si="8"/>
        <v>64750.37</v>
      </c>
      <c r="O222" s="5">
        <f t="shared" si="9"/>
        <v>32375.184000000005</v>
      </c>
      <c r="P222" s="51" t="s">
        <v>2490</v>
      </c>
      <c r="Q222" s="8" t="s">
        <v>2821</v>
      </c>
      <c r="R222" s="61"/>
    </row>
    <row r="223" spans="1:18" s="44" customFormat="1" ht="45" outlineLevel="2" x14ac:dyDescent="0.25">
      <c r="A223" s="3" t="s">
        <v>24</v>
      </c>
      <c r="B223" s="2" t="s">
        <v>250</v>
      </c>
      <c r="C223" s="12" t="s">
        <v>39</v>
      </c>
      <c r="D223" s="2" t="s">
        <v>256</v>
      </c>
      <c r="E223" s="3" t="s">
        <v>1949</v>
      </c>
      <c r="F223" s="2" t="s">
        <v>257</v>
      </c>
      <c r="G223" s="2" t="s">
        <v>258</v>
      </c>
      <c r="H223" s="3" t="s">
        <v>166</v>
      </c>
      <c r="I223" s="5">
        <v>1464482.45</v>
      </c>
      <c r="J223" s="5">
        <v>1464482.45</v>
      </c>
      <c r="K223" s="12">
        <v>100</v>
      </c>
      <c r="L223" s="45">
        <f t="shared" si="10"/>
        <v>585792.98</v>
      </c>
      <c r="M223" s="5"/>
      <c r="N223" s="5">
        <f t="shared" si="8"/>
        <v>1464482.45</v>
      </c>
      <c r="O223" s="5">
        <f t="shared" si="9"/>
        <v>585792.98</v>
      </c>
      <c r="P223" s="51"/>
      <c r="Q223" s="8" t="s">
        <v>2482</v>
      </c>
      <c r="R223" s="61"/>
    </row>
    <row r="224" spans="1:18" s="44" customFormat="1" ht="30" outlineLevel="2" x14ac:dyDescent="0.25">
      <c r="A224" s="3" t="s">
        <v>24</v>
      </c>
      <c r="B224" s="2" t="s">
        <v>336</v>
      </c>
      <c r="C224" s="12" t="s">
        <v>39</v>
      </c>
      <c r="D224" s="2" t="s">
        <v>341</v>
      </c>
      <c r="E224" s="3" t="s">
        <v>1949</v>
      </c>
      <c r="F224" s="2" t="s">
        <v>167</v>
      </c>
      <c r="G224" s="2" t="s">
        <v>169</v>
      </c>
      <c r="H224" s="3" t="s">
        <v>166</v>
      </c>
      <c r="I224" s="5">
        <v>129032.71</v>
      </c>
      <c r="J224" s="5">
        <v>129032.71</v>
      </c>
      <c r="K224" s="12">
        <v>100</v>
      </c>
      <c r="L224" s="45">
        <f t="shared" si="10"/>
        <v>51613.084000000003</v>
      </c>
      <c r="M224" s="5"/>
      <c r="N224" s="5">
        <f t="shared" si="8"/>
        <v>129032.71</v>
      </c>
      <c r="O224" s="5">
        <f t="shared" si="9"/>
        <v>51613.084000000003</v>
      </c>
      <c r="P224" s="51" t="s">
        <v>2031</v>
      </c>
      <c r="Q224" s="8" t="s">
        <v>2480</v>
      </c>
      <c r="R224" s="61"/>
    </row>
    <row r="225" spans="1:18" s="44" customFormat="1" ht="45" outlineLevel="2" x14ac:dyDescent="0.25">
      <c r="A225" s="3" t="s">
        <v>24</v>
      </c>
      <c r="B225" s="2" t="s">
        <v>442</v>
      </c>
      <c r="C225" s="12" t="s">
        <v>39</v>
      </c>
      <c r="D225" s="2" t="s">
        <v>443</v>
      </c>
      <c r="E225" s="3" t="s">
        <v>1949</v>
      </c>
      <c r="F225" s="2" t="s">
        <v>257</v>
      </c>
      <c r="G225" s="2" t="s">
        <v>251</v>
      </c>
      <c r="H225" s="3" t="s">
        <v>166</v>
      </c>
      <c r="I225" s="5">
        <v>5837562.5</v>
      </c>
      <c r="J225" s="5">
        <v>5837562.5</v>
      </c>
      <c r="K225" s="12">
        <v>100</v>
      </c>
      <c r="L225" s="45">
        <f t="shared" si="10"/>
        <v>2335025</v>
      </c>
      <c r="M225" s="5"/>
      <c r="N225" s="5">
        <f t="shared" si="8"/>
        <v>5837562.5</v>
      </c>
      <c r="O225" s="5">
        <f t="shared" si="9"/>
        <v>2335025</v>
      </c>
      <c r="P225" s="51"/>
      <c r="Q225" s="8" t="s">
        <v>2618</v>
      </c>
      <c r="R225" s="61"/>
    </row>
    <row r="226" spans="1:18" s="44" customFormat="1" ht="30" outlineLevel="2" x14ac:dyDescent="0.25">
      <c r="A226" s="3" t="s">
        <v>24</v>
      </c>
      <c r="B226" s="2" t="s">
        <v>448</v>
      </c>
      <c r="C226" s="12" t="s">
        <v>39</v>
      </c>
      <c r="D226" s="2" t="s">
        <v>452</v>
      </c>
      <c r="E226" s="3" t="s">
        <v>1949</v>
      </c>
      <c r="F226" s="2" t="s">
        <v>165</v>
      </c>
      <c r="G226" s="2" t="s">
        <v>450</v>
      </c>
      <c r="H226" s="3" t="s">
        <v>166</v>
      </c>
      <c r="I226" s="5">
        <v>1831865.14</v>
      </c>
      <c r="J226" s="5">
        <v>1831865.14</v>
      </c>
      <c r="K226" s="12">
        <v>100</v>
      </c>
      <c r="L226" s="45">
        <f t="shared" si="10"/>
        <v>732746.05599999998</v>
      </c>
      <c r="M226" s="5"/>
      <c r="N226" s="5">
        <f t="shared" si="8"/>
        <v>1831865.14</v>
      </c>
      <c r="O226" s="5">
        <f t="shared" si="9"/>
        <v>732746.05599999998</v>
      </c>
      <c r="P226" s="51" t="s">
        <v>2619</v>
      </c>
      <c r="Q226" s="8" t="s">
        <v>2480</v>
      </c>
      <c r="R226" s="61"/>
    </row>
    <row r="227" spans="1:18" s="44" customFormat="1" ht="30" outlineLevel="2" x14ac:dyDescent="0.25">
      <c r="A227" s="3" t="s">
        <v>24</v>
      </c>
      <c r="B227" s="2" t="s">
        <v>466</v>
      </c>
      <c r="C227" s="12" t="s">
        <v>39</v>
      </c>
      <c r="D227" s="2" t="s">
        <v>471</v>
      </c>
      <c r="E227" s="3" t="s">
        <v>1949</v>
      </c>
      <c r="F227" s="2" t="s">
        <v>167</v>
      </c>
      <c r="G227" s="2" t="s">
        <v>472</v>
      </c>
      <c r="H227" s="3" t="s">
        <v>166</v>
      </c>
      <c r="I227" s="5">
        <v>97860.92</v>
      </c>
      <c r="J227" s="5">
        <v>97860.92</v>
      </c>
      <c r="K227" s="12">
        <v>100</v>
      </c>
      <c r="L227" s="45">
        <f t="shared" si="10"/>
        <v>39144.368000000002</v>
      </c>
      <c r="M227" s="5"/>
      <c r="N227" s="5">
        <f t="shared" si="8"/>
        <v>97860.92</v>
      </c>
      <c r="O227" s="5">
        <f t="shared" si="9"/>
        <v>39144.368000000002</v>
      </c>
      <c r="P227" s="51" t="s">
        <v>2489</v>
      </c>
      <c r="Q227" s="8" t="s">
        <v>2820</v>
      </c>
      <c r="R227" s="61"/>
    </row>
    <row r="228" spans="1:18" s="44" customFormat="1" ht="30" outlineLevel="2" x14ac:dyDescent="0.25">
      <c r="A228" s="3" t="s">
        <v>24</v>
      </c>
      <c r="B228" s="2" t="s">
        <v>466</v>
      </c>
      <c r="C228" s="12" t="s">
        <v>39</v>
      </c>
      <c r="D228" s="2" t="s">
        <v>473</v>
      </c>
      <c r="E228" s="3" t="s">
        <v>1949</v>
      </c>
      <c r="F228" s="2" t="s">
        <v>167</v>
      </c>
      <c r="G228" s="2" t="s">
        <v>472</v>
      </c>
      <c r="H228" s="3" t="s">
        <v>166</v>
      </c>
      <c r="I228" s="5">
        <v>82527.34</v>
      </c>
      <c r="J228" s="5">
        <v>82527.34</v>
      </c>
      <c r="K228" s="12">
        <v>100</v>
      </c>
      <c r="L228" s="45">
        <f t="shared" si="10"/>
        <v>33010.936000000002</v>
      </c>
      <c r="M228" s="5"/>
      <c r="N228" s="5">
        <f t="shared" si="8"/>
        <v>82527.34</v>
      </c>
      <c r="O228" s="5">
        <f t="shared" si="9"/>
        <v>33010.936000000002</v>
      </c>
      <c r="P228" s="51" t="s">
        <v>2489</v>
      </c>
      <c r="Q228" s="8" t="s">
        <v>2820</v>
      </c>
      <c r="R228" s="61"/>
    </row>
    <row r="229" spans="1:18" s="44" customFormat="1" ht="30" outlineLevel="2" x14ac:dyDescent="0.25">
      <c r="A229" s="3" t="s">
        <v>24</v>
      </c>
      <c r="B229" s="2" t="s">
        <v>484</v>
      </c>
      <c r="C229" s="12" t="s">
        <v>39</v>
      </c>
      <c r="D229" s="2" t="s">
        <v>481</v>
      </c>
      <c r="E229" s="3" t="s">
        <v>1949</v>
      </c>
      <c r="F229" s="2" t="s">
        <v>482</v>
      </c>
      <c r="G229" s="2" t="s">
        <v>483</v>
      </c>
      <c r="H229" s="3" t="s">
        <v>166</v>
      </c>
      <c r="I229" s="5">
        <v>541900.80000000005</v>
      </c>
      <c r="J229" s="5">
        <v>433520.64000000007</v>
      </c>
      <c r="K229" s="12">
        <v>100</v>
      </c>
      <c r="L229" s="45">
        <f t="shared" si="10"/>
        <v>216760.32000000004</v>
      </c>
      <c r="M229" s="5"/>
      <c r="N229" s="5">
        <f t="shared" si="8"/>
        <v>433520.64000000007</v>
      </c>
      <c r="O229" s="5">
        <f t="shared" si="9"/>
        <v>216760.32000000004</v>
      </c>
      <c r="P229" s="51" t="s">
        <v>2620</v>
      </c>
      <c r="Q229" s="8" t="s">
        <v>2483</v>
      </c>
      <c r="R229" s="61"/>
    </row>
    <row r="230" spans="1:18" s="44" customFormat="1" ht="30" outlineLevel="2" x14ac:dyDescent="0.25">
      <c r="A230" s="3" t="s">
        <v>24</v>
      </c>
      <c r="B230" s="2" t="s">
        <v>512</v>
      </c>
      <c r="C230" s="12" t="s">
        <v>39</v>
      </c>
      <c r="D230" s="2" t="s">
        <v>517</v>
      </c>
      <c r="E230" s="3" t="s">
        <v>1949</v>
      </c>
      <c r="F230" s="2" t="s">
        <v>518</v>
      </c>
      <c r="G230" s="2" t="s">
        <v>513</v>
      </c>
      <c r="H230" s="3" t="s">
        <v>166</v>
      </c>
      <c r="I230" s="5">
        <v>113684.71</v>
      </c>
      <c r="J230" s="5">
        <v>113684.71</v>
      </c>
      <c r="K230" s="12">
        <v>100</v>
      </c>
      <c r="L230" s="45">
        <f t="shared" si="10"/>
        <v>45473.884000000005</v>
      </c>
      <c r="M230" s="5"/>
      <c r="N230" s="5">
        <f t="shared" si="8"/>
        <v>113684.71</v>
      </c>
      <c r="O230" s="5">
        <f t="shared" si="9"/>
        <v>45473.884000000005</v>
      </c>
      <c r="P230" s="51" t="s">
        <v>2609</v>
      </c>
      <c r="Q230" s="8" t="s">
        <v>2820</v>
      </c>
      <c r="R230" s="61"/>
    </row>
    <row r="231" spans="1:18" s="44" customFormat="1" ht="30" outlineLevel="2" x14ac:dyDescent="0.25">
      <c r="A231" s="3" t="s">
        <v>24</v>
      </c>
      <c r="B231" s="2" t="s">
        <v>512</v>
      </c>
      <c r="C231" s="12" t="s">
        <v>39</v>
      </c>
      <c r="D231" s="2" t="s">
        <v>519</v>
      </c>
      <c r="E231" s="3" t="s">
        <v>1949</v>
      </c>
      <c r="F231" s="2" t="s">
        <v>167</v>
      </c>
      <c r="G231" s="2" t="s">
        <v>513</v>
      </c>
      <c r="H231" s="3" t="s">
        <v>166</v>
      </c>
      <c r="I231" s="5">
        <v>95871.74</v>
      </c>
      <c r="J231" s="5">
        <v>95871.74</v>
      </c>
      <c r="K231" s="12">
        <v>100</v>
      </c>
      <c r="L231" s="45">
        <f t="shared" si="10"/>
        <v>38348.696000000004</v>
      </c>
      <c r="M231" s="5"/>
      <c r="N231" s="5">
        <f t="shared" si="8"/>
        <v>95871.74</v>
      </c>
      <c r="O231" s="5">
        <f t="shared" si="9"/>
        <v>38348.696000000004</v>
      </c>
      <c r="P231" s="51" t="s">
        <v>2489</v>
      </c>
      <c r="Q231" s="8" t="s">
        <v>2820</v>
      </c>
      <c r="R231" s="61"/>
    </row>
    <row r="232" spans="1:18" s="44" customFormat="1" ht="30" outlineLevel="2" x14ac:dyDescent="0.25">
      <c r="A232" s="3" t="s">
        <v>24</v>
      </c>
      <c r="B232" s="2" t="s">
        <v>536</v>
      </c>
      <c r="C232" s="12" t="s">
        <v>39</v>
      </c>
      <c r="D232" s="2" t="s">
        <v>537</v>
      </c>
      <c r="E232" s="3" t="s">
        <v>1949</v>
      </c>
      <c r="F232" s="2" t="s">
        <v>243</v>
      </c>
      <c r="G232" s="2" t="s">
        <v>115</v>
      </c>
      <c r="H232" s="3" t="s">
        <v>166</v>
      </c>
      <c r="I232" s="5">
        <v>484147.34</v>
      </c>
      <c r="J232" s="5">
        <v>387317.87</v>
      </c>
      <c r="K232" s="12">
        <v>80</v>
      </c>
      <c r="L232" s="45">
        <f t="shared" si="10"/>
        <v>193658.93600000002</v>
      </c>
      <c r="M232" s="5"/>
      <c r="N232" s="5">
        <f t="shared" si="8"/>
        <v>387317.87</v>
      </c>
      <c r="O232" s="5">
        <f t="shared" si="9"/>
        <v>193658.93600000002</v>
      </c>
      <c r="P232" s="51" t="s">
        <v>2490</v>
      </c>
      <c r="Q232" s="8" t="s">
        <v>2821</v>
      </c>
      <c r="R232" s="61"/>
    </row>
    <row r="233" spans="1:18" s="44" customFormat="1" ht="30" outlineLevel="2" x14ac:dyDescent="0.25">
      <c r="A233" s="3" t="s">
        <v>24</v>
      </c>
      <c r="B233" s="2" t="s">
        <v>536</v>
      </c>
      <c r="C233" s="12" t="s">
        <v>39</v>
      </c>
      <c r="D233" s="2" t="s">
        <v>538</v>
      </c>
      <c r="E233" s="3" t="s">
        <v>1949</v>
      </c>
      <c r="F233" s="2" t="s">
        <v>257</v>
      </c>
      <c r="G233" s="2" t="s">
        <v>240</v>
      </c>
      <c r="H233" s="3" t="s">
        <v>166</v>
      </c>
      <c r="I233" s="5">
        <v>1388806.68</v>
      </c>
      <c r="J233" s="5">
        <v>1388806.68</v>
      </c>
      <c r="K233" s="12">
        <v>100</v>
      </c>
      <c r="L233" s="45">
        <f t="shared" si="10"/>
        <v>555522.67200000002</v>
      </c>
      <c r="M233" s="5"/>
      <c r="N233" s="5">
        <f t="shared" si="8"/>
        <v>1388806.68</v>
      </c>
      <c r="O233" s="5">
        <f t="shared" si="9"/>
        <v>555522.67200000002</v>
      </c>
      <c r="P233" s="51" t="s">
        <v>2490</v>
      </c>
      <c r="Q233" s="8" t="s">
        <v>2821</v>
      </c>
      <c r="R233" s="61"/>
    </row>
    <row r="234" spans="1:18" s="44" customFormat="1" ht="30" outlineLevel="2" x14ac:dyDescent="0.25">
      <c r="A234" s="3" t="s">
        <v>24</v>
      </c>
      <c r="B234" s="2" t="s">
        <v>558</v>
      </c>
      <c r="C234" s="12" t="s">
        <v>39</v>
      </c>
      <c r="D234" s="2" t="s">
        <v>564</v>
      </c>
      <c r="E234" s="3" t="s">
        <v>1949</v>
      </c>
      <c r="F234" s="2" t="s">
        <v>565</v>
      </c>
      <c r="G234" s="2" t="s">
        <v>562</v>
      </c>
      <c r="H234" s="3" t="s">
        <v>166</v>
      </c>
      <c r="I234" s="5">
        <v>108000</v>
      </c>
      <c r="J234" s="5">
        <v>108000</v>
      </c>
      <c r="K234" s="12">
        <v>100</v>
      </c>
      <c r="L234" s="45">
        <f t="shared" si="10"/>
        <v>43200</v>
      </c>
      <c r="M234" s="5"/>
      <c r="N234" s="5">
        <f t="shared" si="8"/>
        <v>108000</v>
      </c>
      <c r="O234" s="5">
        <f t="shared" si="9"/>
        <v>43200</v>
      </c>
      <c r="P234" s="51" t="s">
        <v>2031</v>
      </c>
      <c r="Q234" s="8" t="s">
        <v>2403</v>
      </c>
      <c r="R234" s="61"/>
    </row>
    <row r="235" spans="1:18" ht="60" outlineLevel="2" x14ac:dyDescent="0.2">
      <c r="A235" s="3" t="s">
        <v>24</v>
      </c>
      <c r="B235" s="2" t="s">
        <v>558</v>
      </c>
      <c r="C235" s="12" t="s">
        <v>39</v>
      </c>
      <c r="D235" s="2" t="s">
        <v>566</v>
      </c>
      <c r="E235" s="6" t="s">
        <v>1949</v>
      </c>
      <c r="F235" s="2" t="s">
        <v>567</v>
      </c>
      <c r="G235" s="2" t="s">
        <v>560</v>
      </c>
      <c r="H235" s="3" t="s">
        <v>166</v>
      </c>
      <c r="I235" s="5">
        <v>84425267.400000006</v>
      </c>
      <c r="J235" s="5">
        <v>67540213.920000002</v>
      </c>
      <c r="K235" s="12">
        <v>80</v>
      </c>
      <c r="L235" s="45">
        <f t="shared" si="10"/>
        <v>33770106.960000001</v>
      </c>
      <c r="M235" s="5"/>
      <c r="N235" s="5">
        <f t="shared" si="8"/>
        <v>67540213.920000002</v>
      </c>
      <c r="O235" s="5">
        <f t="shared" si="9"/>
        <v>33770106.960000001</v>
      </c>
      <c r="P235" s="51" t="s">
        <v>2489</v>
      </c>
      <c r="Q235" s="8" t="s">
        <v>2621</v>
      </c>
    </row>
    <row r="236" spans="1:18" s="44" customFormat="1" ht="30" outlineLevel="2" x14ac:dyDescent="0.25">
      <c r="A236" s="3" t="s">
        <v>24</v>
      </c>
      <c r="B236" s="2" t="s">
        <v>643</v>
      </c>
      <c r="C236" s="12" t="s">
        <v>39</v>
      </c>
      <c r="D236" s="2" t="s">
        <v>646</v>
      </c>
      <c r="E236" s="3" t="s">
        <v>1949</v>
      </c>
      <c r="F236" s="2" t="s">
        <v>167</v>
      </c>
      <c r="G236" s="2" t="s">
        <v>472</v>
      </c>
      <c r="H236" s="3" t="s">
        <v>166</v>
      </c>
      <c r="I236" s="5">
        <v>2786898.11</v>
      </c>
      <c r="J236" s="5">
        <v>2786898.11</v>
      </c>
      <c r="K236" s="12">
        <v>100</v>
      </c>
      <c r="L236" s="45">
        <f t="shared" si="10"/>
        <v>1114759.2439999999</v>
      </c>
      <c r="M236" s="5"/>
      <c r="N236" s="5">
        <f t="shared" si="8"/>
        <v>2786898.11</v>
      </c>
      <c r="O236" s="5">
        <f t="shared" si="9"/>
        <v>1114759.2439999999</v>
      </c>
      <c r="P236" s="51" t="s">
        <v>2619</v>
      </c>
      <c r="Q236" s="8" t="s">
        <v>2480</v>
      </c>
      <c r="R236" s="61"/>
    </row>
    <row r="237" spans="1:18" s="44" customFormat="1" ht="30" outlineLevel="2" x14ac:dyDescent="0.25">
      <c r="A237" s="3" t="s">
        <v>24</v>
      </c>
      <c r="B237" s="2" t="s">
        <v>664</v>
      </c>
      <c r="C237" s="12" t="s">
        <v>39</v>
      </c>
      <c r="D237" s="2" t="s">
        <v>665</v>
      </c>
      <c r="E237" s="3" t="s">
        <v>1949</v>
      </c>
      <c r="F237" s="2" t="s">
        <v>167</v>
      </c>
      <c r="G237" s="2" t="s">
        <v>666</v>
      </c>
      <c r="H237" s="3" t="s">
        <v>166</v>
      </c>
      <c r="I237" s="5">
        <v>100000</v>
      </c>
      <c r="J237" s="5">
        <v>100000</v>
      </c>
      <c r="K237" s="12">
        <v>100</v>
      </c>
      <c r="L237" s="45">
        <f t="shared" si="10"/>
        <v>40000</v>
      </c>
      <c r="M237" s="5"/>
      <c r="N237" s="5">
        <f t="shared" si="8"/>
        <v>100000</v>
      </c>
      <c r="O237" s="5">
        <f t="shared" si="9"/>
        <v>40000</v>
      </c>
      <c r="P237" s="51"/>
      <c r="Q237" s="8"/>
      <c r="R237" s="61"/>
    </row>
    <row r="238" spans="1:18" s="44" customFormat="1" ht="30" outlineLevel="2" x14ac:dyDescent="0.25">
      <c r="A238" s="3" t="s">
        <v>24</v>
      </c>
      <c r="B238" s="2" t="s">
        <v>764</v>
      </c>
      <c r="C238" s="12" t="s">
        <v>39</v>
      </c>
      <c r="D238" s="2" t="s">
        <v>765</v>
      </c>
      <c r="E238" s="3" t="s">
        <v>1949</v>
      </c>
      <c r="F238" s="2" t="s">
        <v>165</v>
      </c>
      <c r="G238" s="2" t="s">
        <v>766</v>
      </c>
      <c r="H238" s="3" t="s">
        <v>166</v>
      </c>
      <c r="I238" s="5">
        <v>1803185.33</v>
      </c>
      <c r="J238" s="5">
        <v>1803185.33</v>
      </c>
      <c r="K238" s="12">
        <v>100</v>
      </c>
      <c r="L238" s="45">
        <f t="shared" si="10"/>
        <v>721274.1320000001</v>
      </c>
      <c r="M238" s="5"/>
      <c r="N238" s="5">
        <f t="shared" si="8"/>
        <v>1803185.33</v>
      </c>
      <c r="O238" s="5">
        <f t="shared" si="9"/>
        <v>721274.1320000001</v>
      </c>
      <c r="P238" s="51"/>
      <c r="Q238" s="8"/>
      <c r="R238" s="61"/>
    </row>
    <row r="239" spans="1:18" s="44" customFormat="1" ht="30" outlineLevel="2" x14ac:dyDescent="0.25">
      <c r="A239" s="3" t="s">
        <v>24</v>
      </c>
      <c r="B239" s="2" t="s">
        <v>770</v>
      </c>
      <c r="C239" s="12" t="s">
        <v>39</v>
      </c>
      <c r="D239" s="2" t="s">
        <v>771</v>
      </c>
      <c r="E239" s="3" t="s">
        <v>1949</v>
      </c>
      <c r="F239" s="2" t="s">
        <v>772</v>
      </c>
      <c r="G239" s="2" t="s">
        <v>773</v>
      </c>
      <c r="H239" s="3" t="s">
        <v>166</v>
      </c>
      <c r="I239" s="5">
        <v>12219638.93</v>
      </c>
      <c r="J239" s="5">
        <v>9775711.1400000006</v>
      </c>
      <c r="K239" s="12">
        <v>80</v>
      </c>
      <c r="L239" s="45">
        <f t="shared" si="10"/>
        <v>4887855.5719999997</v>
      </c>
      <c r="M239" s="5"/>
      <c r="N239" s="5">
        <f t="shared" si="8"/>
        <v>9775711.1400000006</v>
      </c>
      <c r="O239" s="5">
        <f t="shared" si="9"/>
        <v>4887855.5719999997</v>
      </c>
      <c r="P239" s="51"/>
      <c r="Q239" s="8"/>
      <c r="R239" s="61"/>
    </row>
    <row r="240" spans="1:18" s="44" customFormat="1" ht="30" outlineLevel="2" x14ac:dyDescent="0.25">
      <c r="A240" s="3" t="s">
        <v>24</v>
      </c>
      <c r="B240" s="2" t="s">
        <v>803</v>
      </c>
      <c r="C240" s="12" t="s">
        <v>39</v>
      </c>
      <c r="D240" s="2" t="s">
        <v>809</v>
      </c>
      <c r="E240" s="3" t="s">
        <v>1949</v>
      </c>
      <c r="F240" s="2" t="s">
        <v>810</v>
      </c>
      <c r="G240" s="2" t="s">
        <v>805</v>
      </c>
      <c r="H240" s="3" t="s">
        <v>107</v>
      </c>
      <c r="I240" s="5">
        <v>825000</v>
      </c>
      <c r="J240" s="5">
        <v>825000</v>
      </c>
      <c r="K240" s="12">
        <v>100</v>
      </c>
      <c r="L240" s="45">
        <f t="shared" si="10"/>
        <v>330000</v>
      </c>
      <c r="M240" s="5"/>
      <c r="N240" s="5">
        <f t="shared" si="8"/>
        <v>825000</v>
      </c>
      <c r="O240" s="5">
        <f t="shared" si="9"/>
        <v>330000</v>
      </c>
      <c r="P240" s="51" t="s">
        <v>2488</v>
      </c>
      <c r="Q240" s="8" t="s">
        <v>2622</v>
      </c>
      <c r="R240" s="61"/>
    </row>
    <row r="241" spans="1:18" ht="45" outlineLevel="2" x14ac:dyDescent="0.2">
      <c r="A241" s="3" t="s">
        <v>24</v>
      </c>
      <c r="B241" s="2" t="s">
        <v>844</v>
      </c>
      <c r="C241" s="12" t="s">
        <v>39</v>
      </c>
      <c r="D241" s="2" t="s">
        <v>855</v>
      </c>
      <c r="E241" s="6" t="s">
        <v>1949</v>
      </c>
      <c r="F241" s="2" t="s">
        <v>567</v>
      </c>
      <c r="G241" s="2" t="s">
        <v>666</v>
      </c>
      <c r="H241" s="3" t="s">
        <v>166</v>
      </c>
      <c r="I241" s="5">
        <v>32066472.260000002</v>
      </c>
      <c r="J241" s="5">
        <v>25653177.809999999</v>
      </c>
      <c r="K241" s="12">
        <v>80</v>
      </c>
      <c r="L241" s="45">
        <f t="shared" si="10"/>
        <v>12826588.904000001</v>
      </c>
      <c r="M241" s="5"/>
      <c r="N241" s="5">
        <f t="shared" si="8"/>
        <v>25653177.809999999</v>
      </c>
      <c r="O241" s="5">
        <f t="shared" si="9"/>
        <v>12826588.904000001</v>
      </c>
      <c r="P241" s="51" t="s">
        <v>2490</v>
      </c>
      <c r="Q241" s="8" t="s">
        <v>2613</v>
      </c>
    </row>
    <row r="242" spans="1:18" s="44" customFormat="1" ht="30" outlineLevel="2" x14ac:dyDescent="0.25">
      <c r="A242" s="3" t="s">
        <v>24</v>
      </c>
      <c r="B242" s="2" t="s">
        <v>878</v>
      </c>
      <c r="C242" s="12" t="s">
        <v>39</v>
      </c>
      <c r="D242" s="2" t="s">
        <v>882</v>
      </c>
      <c r="E242" s="3" t="s">
        <v>1949</v>
      </c>
      <c r="F242" s="2" t="s">
        <v>165</v>
      </c>
      <c r="G242" s="2" t="s">
        <v>879</v>
      </c>
      <c r="H242" s="3" t="s">
        <v>166</v>
      </c>
      <c r="I242" s="5">
        <v>3381729.87</v>
      </c>
      <c r="J242" s="5">
        <v>3381729.87</v>
      </c>
      <c r="K242" s="12">
        <v>100</v>
      </c>
      <c r="L242" s="45">
        <f t="shared" si="10"/>
        <v>1352691.9480000001</v>
      </c>
      <c r="M242" s="5"/>
      <c r="N242" s="5">
        <f t="shared" si="8"/>
        <v>3381729.87</v>
      </c>
      <c r="O242" s="5">
        <f t="shared" si="9"/>
        <v>1352691.9480000001</v>
      </c>
      <c r="P242" s="51"/>
      <c r="Q242" s="8"/>
      <c r="R242" s="61"/>
    </row>
    <row r="243" spans="1:18" s="44" customFormat="1" ht="30" outlineLevel="2" x14ac:dyDescent="0.25">
      <c r="A243" s="3" t="s">
        <v>24</v>
      </c>
      <c r="B243" s="2" t="s">
        <v>895</v>
      </c>
      <c r="C243" s="12" t="s">
        <v>39</v>
      </c>
      <c r="D243" s="2" t="s">
        <v>899</v>
      </c>
      <c r="E243" s="3" t="s">
        <v>1949</v>
      </c>
      <c r="F243" s="2" t="s">
        <v>167</v>
      </c>
      <c r="G243" s="2" t="s">
        <v>896</v>
      </c>
      <c r="H243" s="3" t="s">
        <v>166</v>
      </c>
      <c r="I243" s="5">
        <v>7081500.2000000002</v>
      </c>
      <c r="J243" s="5">
        <v>7081500.2000000002</v>
      </c>
      <c r="K243" s="12">
        <v>100</v>
      </c>
      <c r="L243" s="45">
        <f t="shared" si="10"/>
        <v>2832600.08</v>
      </c>
      <c r="M243" s="5"/>
      <c r="N243" s="5">
        <f t="shared" si="8"/>
        <v>7081500.2000000002</v>
      </c>
      <c r="O243" s="5">
        <f t="shared" si="9"/>
        <v>2832600.08</v>
      </c>
      <c r="P243" s="51"/>
      <c r="Q243" s="8" t="s">
        <v>2480</v>
      </c>
      <c r="R243" s="61"/>
    </row>
    <row r="244" spans="1:18" s="44" customFormat="1" ht="30" outlineLevel="2" x14ac:dyDescent="0.25">
      <c r="A244" s="3" t="s">
        <v>24</v>
      </c>
      <c r="B244" s="2" t="s">
        <v>970</v>
      </c>
      <c r="C244" s="12" t="s">
        <v>39</v>
      </c>
      <c r="D244" s="2" t="s">
        <v>974</v>
      </c>
      <c r="E244" s="3" t="s">
        <v>1949</v>
      </c>
      <c r="F244" s="2" t="s">
        <v>975</v>
      </c>
      <c r="G244" s="2" t="s">
        <v>971</v>
      </c>
      <c r="H244" s="3" t="s">
        <v>166</v>
      </c>
      <c r="I244" s="5">
        <v>1323352.8</v>
      </c>
      <c r="J244" s="5">
        <v>1323352.8</v>
      </c>
      <c r="K244" s="12">
        <v>100</v>
      </c>
      <c r="L244" s="45">
        <f t="shared" si="10"/>
        <v>529341.12</v>
      </c>
      <c r="M244" s="5"/>
      <c r="N244" s="5">
        <f t="shared" si="8"/>
        <v>1323352.8</v>
      </c>
      <c r="O244" s="5">
        <f t="shared" si="9"/>
        <v>529341.12</v>
      </c>
      <c r="P244" s="51" t="s">
        <v>2619</v>
      </c>
      <c r="Q244" s="8" t="s">
        <v>2480</v>
      </c>
      <c r="R244" s="61"/>
    </row>
    <row r="245" spans="1:18" s="44" customFormat="1" ht="30" outlineLevel="2" x14ac:dyDescent="0.25">
      <c r="A245" s="3" t="s">
        <v>24</v>
      </c>
      <c r="B245" s="2" t="s">
        <v>1041</v>
      </c>
      <c r="C245" s="12" t="s">
        <v>39</v>
      </c>
      <c r="D245" s="2" t="s">
        <v>1046</v>
      </c>
      <c r="E245" s="3" t="s">
        <v>1949</v>
      </c>
      <c r="F245" s="2" t="s">
        <v>165</v>
      </c>
      <c r="G245" s="2" t="s">
        <v>1043</v>
      </c>
      <c r="H245" s="3" t="s">
        <v>166</v>
      </c>
      <c r="I245" s="5">
        <v>2008800</v>
      </c>
      <c r="J245" s="5">
        <v>2008800</v>
      </c>
      <c r="K245" s="12">
        <v>100</v>
      </c>
      <c r="L245" s="45">
        <f t="shared" si="10"/>
        <v>803520</v>
      </c>
      <c r="M245" s="5"/>
      <c r="N245" s="5">
        <f t="shared" si="8"/>
        <v>2008800</v>
      </c>
      <c r="O245" s="5">
        <f t="shared" si="9"/>
        <v>803520</v>
      </c>
      <c r="P245" s="51"/>
      <c r="Q245" s="8" t="s">
        <v>2480</v>
      </c>
      <c r="R245" s="61"/>
    </row>
    <row r="246" spans="1:18" s="44" customFormat="1" ht="30" outlineLevel="2" x14ac:dyDescent="0.25">
      <c r="A246" s="3" t="s">
        <v>24</v>
      </c>
      <c r="B246" s="2" t="s">
        <v>1106</v>
      </c>
      <c r="C246" s="12" t="s">
        <v>39</v>
      </c>
      <c r="D246" s="2" t="s">
        <v>1107</v>
      </c>
      <c r="E246" s="3" t="s">
        <v>1949</v>
      </c>
      <c r="F246" s="2" t="s">
        <v>165</v>
      </c>
      <c r="G246" s="2" t="s">
        <v>1108</v>
      </c>
      <c r="H246" s="3" t="s">
        <v>166</v>
      </c>
      <c r="I246" s="5">
        <v>73890.679999999993</v>
      </c>
      <c r="J246" s="5">
        <v>73890.679999999993</v>
      </c>
      <c r="K246" s="12">
        <v>100</v>
      </c>
      <c r="L246" s="45">
        <f t="shared" si="10"/>
        <v>29556.271999999997</v>
      </c>
      <c r="M246" s="5"/>
      <c r="N246" s="5">
        <f t="shared" si="8"/>
        <v>73890.679999999993</v>
      </c>
      <c r="O246" s="5">
        <f t="shared" si="9"/>
        <v>29556.271999999997</v>
      </c>
      <c r="P246" s="51" t="s">
        <v>2489</v>
      </c>
      <c r="Q246" s="8" t="s">
        <v>2820</v>
      </c>
      <c r="R246" s="61"/>
    </row>
    <row r="247" spans="1:18" s="44" customFormat="1" ht="30" outlineLevel="2" x14ac:dyDescent="0.25">
      <c r="A247" s="3" t="s">
        <v>24</v>
      </c>
      <c r="B247" s="2" t="s">
        <v>1106</v>
      </c>
      <c r="C247" s="12" t="s">
        <v>39</v>
      </c>
      <c r="D247" s="2" t="s">
        <v>1107</v>
      </c>
      <c r="E247" s="3" t="s">
        <v>1949</v>
      </c>
      <c r="F247" s="2" t="s">
        <v>167</v>
      </c>
      <c r="G247" s="2" t="s">
        <v>1105</v>
      </c>
      <c r="H247" s="3" t="s">
        <v>166</v>
      </c>
      <c r="I247" s="5">
        <v>62312.94</v>
      </c>
      <c r="J247" s="5">
        <v>62312.94</v>
      </c>
      <c r="K247" s="12">
        <v>100</v>
      </c>
      <c r="L247" s="45">
        <f t="shared" si="10"/>
        <v>24925.176000000003</v>
      </c>
      <c r="M247" s="5"/>
      <c r="N247" s="5">
        <f t="shared" si="8"/>
        <v>62312.94</v>
      </c>
      <c r="O247" s="5">
        <f t="shared" si="9"/>
        <v>24925.176000000003</v>
      </c>
      <c r="P247" s="51" t="s">
        <v>2489</v>
      </c>
      <c r="Q247" s="8" t="s">
        <v>2822</v>
      </c>
      <c r="R247" s="61"/>
    </row>
    <row r="248" spans="1:18" s="44" customFormat="1" ht="30" outlineLevel="2" x14ac:dyDescent="0.25">
      <c r="A248" s="3" t="s">
        <v>24</v>
      </c>
      <c r="B248" s="2" t="s">
        <v>1118</v>
      </c>
      <c r="C248" s="12" t="s">
        <v>39</v>
      </c>
      <c r="D248" s="2" t="s">
        <v>1122</v>
      </c>
      <c r="E248" s="3" t="s">
        <v>1949</v>
      </c>
      <c r="F248" s="2" t="s">
        <v>165</v>
      </c>
      <c r="G248" s="2" t="s">
        <v>1119</v>
      </c>
      <c r="H248" s="3" t="s">
        <v>166</v>
      </c>
      <c r="I248" s="5">
        <v>294000.19</v>
      </c>
      <c r="J248" s="5">
        <v>294000.19</v>
      </c>
      <c r="K248" s="12">
        <v>100</v>
      </c>
      <c r="L248" s="45">
        <f t="shared" si="10"/>
        <v>117600.076</v>
      </c>
      <c r="M248" s="5"/>
      <c r="N248" s="5">
        <f t="shared" si="8"/>
        <v>294000.19</v>
      </c>
      <c r="O248" s="5">
        <f t="shared" si="9"/>
        <v>117600.076</v>
      </c>
      <c r="P248" s="51" t="s">
        <v>2489</v>
      </c>
      <c r="Q248" s="8" t="s">
        <v>2820</v>
      </c>
      <c r="R248" s="61"/>
    </row>
    <row r="249" spans="1:18" s="44" customFormat="1" ht="30" outlineLevel="2" x14ac:dyDescent="0.25">
      <c r="A249" s="3" t="s">
        <v>24</v>
      </c>
      <c r="B249" s="2" t="s">
        <v>1118</v>
      </c>
      <c r="C249" s="12" t="s">
        <v>39</v>
      </c>
      <c r="D249" s="2" t="s">
        <v>1122</v>
      </c>
      <c r="E249" s="3" t="s">
        <v>1949</v>
      </c>
      <c r="F249" s="2" t="s">
        <v>167</v>
      </c>
      <c r="G249" s="2" t="s">
        <v>1119</v>
      </c>
      <c r="H249" s="3" t="s">
        <v>166</v>
      </c>
      <c r="I249" s="5">
        <v>247934.04</v>
      </c>
      <c r="J249" s="5">
        <v>247934.04</v>
      </c>
      <c r="K249" s="12">
        <v>100</v>
      </c>
      <c r="L249" s="45">
        <f t="shared" si="10"/>
        <v>99173.616000000009</v>
      </c>
      <c r="M249" s="5"/>
      <c r="N249" s="5">
        <f t="shared" si="8"/>
        <v>247934.04</v>
      </c>
      <c r="O249" s="5">
        <f t="shared" si="9"/>
        <v>99173.616000000009</v>
      </c>
      <c r="P249" s="51" t="s">
        <v>2489</v>
      </c>
      <c r="Q249" s="8" t="s">
        <v>2820</v>
      </c>
      <c r="R249" s="61"/>
    </row>
    <row r="250" spans="1:18" s="44" customFormat="1" ht="30" outlineLevel="2" x14ac:dyDescent="0.25">
      <c r="A250" s="3" t="s">
        <v>24</v>
      </c>
      <c r="B250" s="2" t="s">
        <v>1216</v>
      </c>
      <c r="C250" s="12" t="s">
        <v>39</v>
      </c>
      <c r="D250" s="2" t="s">
        <v>1218</v>
      </c>
      <c r="E250" s="3" t="s">
        <v>1949</v>
      </c>
      <c r="F250" s="2" t="s">
        <v>165</v>
      </c>
      <c r="G250" s="2" t="s">
        <v>1217</v>
      </c>
      <c r="H250" s="3" t="s">
        <v>166</v>
      </c>
      <c r="I250" s="5">
        <v>149211.91</v>
      </c>
      <c r="J250" s="5">
        <v>149211.91</v>
      </c>
      <c r="K250" s="12">
        <v>100</v>
      </c>
      <c r="L250" s="45">
        <f t="shared" si="10"/>
        <v>59684.764000000003</v>
      </c>
      <c r="M250" s="5"/>
      <c r="N250" s="5">
        <f t="shared" si="8"/>
        <v>149211.91</v>
      </c>
      <c r="O250" s="5">
        <f t="shared" si="9"/>
        <v>59684.764000000003</v>
      </c>
      <c r="P250" s="51" t="s">
        <v>2489</v>
      </c>
      <c r="Q250" s="8" t="s">
        <v>2822</v>
      </c>
      <c r="R250" s="61"/>
    </row>
    <row r="251" spans="1:18" s="44" customFormat="1" ht="30" outlineLevel="2" x14ac:dyDescent="0.25">
      <c r="A251" s="3" t="s">
        <v>24</v>
      </c>
      <c r="B251" s="2" t="s">
        <v>1244</v>
      </c>
      <c r="C251" s="12" t="s">
        <v>39</v>
      </c>
      <c r="D251" s="2" t="s">
        <v>1245</v>
      </c>
      <c r="E251" s="3" t="s">
        <v>1949</v>
      </c>
      <c r="F251" s="2" t="s">
        <v>167</v>
      </c>
      <c r="G251" s="2" t="s">
        <v>478</v>
      </c>
      <c r="H251" s="3" t="s">
        <v>166</v>
      </c>
      <c r="I251" s="5">
        <v>947245.7</v>
      </c>
      <c r="J251" s="5">
        <v>947245.7</v>
      </c>
      <c r="K251" s="12">
        <v>100</v>
      </c>
      <c r="L251" s="45">
        <f t="shared" si="10"/>
        <v>378898.28</v>
      </c>
      <c r="M251" s="5"/>
      <c r="N251" s="5">
        <f t="shared" si="8"/>
        <v>947245.7</v>
      </c>
      <c r="O251" s="5">
        <f t="shared" si="9"/>
        <v>378898.28</v>
      </c>
      <c r="P251" s="51"/>
      <c r="Q251" s="8" t="s">
        <v>2485</v>
      </c>
      <c r="R251" s="61"/>
    </row>
    <row r="252" spans="1:18" ht="45" outlineLevel="2" x14ac:dyDescent="0.2">
      <c r="A252" s="3" t="s">
        <v>24</v>
      </c>
      <c r="B252" s="2" t="s">
        <v>1285</v>
      </c>
      <c r="C252" s="12" t="s">
        <v>39</v>
      </c>
      <c r="D252" s="2" t="s">
        <v>443</v>
      </c>
      <c r="E252" s="6" t="s">
        <v>1949</v>
      </c>
      <c r="F252" s="2" t="s">
        <v>257</v>
      </c>
      <c r="G252" s="2" t="s">
        <v>251</v>
      </c>
      <c r="H252" s="3" t="s">
        <v>166</v>
      </c>
      <c r="I252" s="5">
        <v>43305137.340000004</v>
      </c>
      <c r="J252" s="5">
        <v>43305137.340000004</v>
      </c>
      <c r="K252" s="12">
        <v>100</v>
      </c>
      <c r="L252" s="45">
        <f t="shared" si="10"/>
        <v>17322054.936000001</v>
      </c>
      <c r="M252" s="5"/>
      <c r="N252" s="5">
        <f t="shared" si="8"/>
        <v>43305137.340000004</v>
      </c>
      <c r="O252" s="5">
        <f t="shared" si="9"/>
        <v>17322054.936000001</v>
      </c>
      <c r="P252" s="51"/>
      <c r="Q252" s="8" t="s">
        <v>2623</v>
      </c>
    </row>
    <row r="253" spans="1:18" s="44" customFormat="1" ht="45" outlineLevel="2" x14ac:dyDescent="0.25">
      <c r="A253" s="3" t="s">
        <v>24</v>
      </c>
      <c r="B253" s="2" t="s">
        <v>1294</v>
      </c>
      <c r="C253" s="12" t="s">
        <v>39</v>
      </c>
      <c r="D253" s="2" t="s">
        <v>1297</v>
      </c>
      <c r="E253" s="3" t="s">
        <v>1949</v>
      </c>
      <c r="F253" s="2" t="s">
        <v>27</v>
      </c>
      <c r="G253" s="2" t="s">
        <v>445</v>
      </c>
      <c r="H253" s="3" t="s">
        <v>308</v>
      </c>
      <c r="I253" s="5">
        <v>15515410.310000001</v>
      </c>
      <c r="J253" s="5">
        <v>12412328.25</v>
      </c>
      <c r="K253" s="12">
        <v>80</v>
      </c>
      <c r="L253" s="45">
        <f t="shared" si="10"/>
        <v>6206164.1240000008</v>
      </c>
      <c r="M253" s="5"/>
      <c r="N253" s="5">
        <f t="shared" si="8"/>
        <v>12412328.25</v>
      </c>
      <c r="O253" s="5">
        <f t="shared" si="9"/>
        <v>6206164.1240000008</v>
      </c>
      <c r="P253" s="51"/>
      <c r="Q253" s="8" t="s">
        <v>2624</v>
      </c>
      <c r="R253" s="61"/>
    </row>
    <row r="254" spans="1:18" s="44" customFormat="1" ht="30" outlineLevel="2" x14ac:dyDescent="0.25">
      <c r="A254" s="3" t="s">
        <v>24</v>
      </c>
      <c r="B254" s="2" t="s">
        <v>1315</v>
      </c>
      <c r="C254" s="12" t="s">
        <v>39</v>
      </c>
      <c r="D254" s="2" t="s">
        <v>1453</v>
      </c>
      <c r="E254" s="3" t="s">
        <v>1949</v>
      </c>
      <c r="F254" s="2" t="s">
        <v>167</v>
      </c>
      <c r="G254" s="2" t="s">
        <v>454</v>
      </c>
      <c r="H254" s="3" t="s">
        <v>166</v>
      </c>
      <c r="I254" s="5">
        <v>669313.81999999995</v>
      </c>
      <c r="J254" s="5">
        <v>669313.81999999995</v>
      </c>
      <c r="K254" s="12">
        <v>100</v>
      </c>
      <c r="L254" s="45">
        <f t="shared" si="10"/>
        <v>267725.52799999999</v>
      </c>
      <c r="M254" s="5"/>
      <c r="N254" s="5">
        <f t="shared" si="8"/>
        <v>669313.81999999995</v>
      </c>
      <c r="O254" s="5">
        <f t="shared" si="9"/>
        <v>267725.52799999999</v>
      </c>
      <c r="P254" s="51" t="s">
        <v>2031</v>
      </c>
      <c r="Q254" s="8" t="s">
        <v>2480</v>
      </c>
      <c r="R254" s="61"/>
    </row>
    <row r="255" spans="1:18" s="44" customFormat="1" ht="75" outlineLevel="2" x14ac:dyDescent="0.25">
      <c r="A255" s="3" t="s">
        <v>24</v>
      </c>
      <c r="B255" s="2" t="s">
        <v>1315</v>
      </c>
      <c r="C255" s="12" t="s">
        <v>39</v>
      </c>
      <c r="D255" s="2" t="s">
        <v>1454</v>
      </c>
      <c r="E255" s="3" t="s">
        <v>1949</v>
      </c>
      <c r="F255" s="2" t="s">
        <v>165</v>
      </c>
      <c r="G255" s="2" t="s">
        <v>1455</v>
      </c>
      <c r="H255" s="3" t="s">
        <v>166</v>
      </c>
      <c r="I255" s="5">
        <v>4335564.5</v>
      </c>
      <c r="J255" s="5">
        <v>4335564.5</v>
      </c>
      <c r="K255" s="12">
        <v>100</v>
      </c>
      <c r="L255" s="45">
        <f t="shared" si="10"/>
        <v>1734225.8</v>
      </c>
      <c r="M255" s="5"/>
      <c r="N255" s="5">
        <f t="shared" si="8"/>
        <v>4335564.5</v>
      </c>
      <c r="O255" s="5">
        <f t="shared" si="9"/>
        <v>1734225.8</v>
      </c>
      <c r="P255" s="51" t="s">
        <v>2031</v>
      </c>
      <c r="Q255" s="8" t="s">
        <v>2823</v>
      </c>
      <c r="R255" s="61"/>
    </row>
    <row r="256" spans="1:18" s="44" customFormat="1" ht="30" outlineLevel="2" x14ac:dyDescent="0.25">
      <c r="A256" s="3" t="s">
        <v>24</v>
      </c>
      <c r="B256" s="2" t="s">
        <v>1315</v>
      </c>
      <c r="C256" s="12" t="s">
        <v>39</v>
      </c>
      <c r="D256" s="2" t="s">
        <v>1456</v>
      </c>
      <c r="E256" s="3" t="s">
        <v>1949</v>
      </c>
      <c r="F256" s="2" t="s">
        <v>167</v>
      </c>
      <c r="G256" s="2" t="s">
        <v>1457</v>
      </c>
      <c r="H256" s="3" t="s">
        <v>166</v>
      </c>
      <c r="I256" s="5">
        <v>21506.799999999999</v>
      </c>
      <c r="J256" s="5">
        <v>21506.799999999999</v>
      </c>
      <c r="K256" s="12">
        <v>100</v>
      </c>
      <c r="L256" s="45">
        <f t="shared" si="10"/>
        <v>8602.7199999999993</v>
      </c>
      <c r="M256" s="5"/>
      <c r="N256" s="5">
        <f t="shared" si="8"/>
        <v>21506.799999999999</v>
      </c>
      <c r="O256" s="5">
        <f t="shared" si="9"/>
        <v>8602.7199999999993</v>
      </c>
      <c r="P256" s="51" t="s">
        <v>2031</v>
      </c>
      <c r="Q256" s="8" t="s">
        <v>2480</v>
      </c>
      <c r="R256" s="61"/>
    </row>
    <row r="257" spans="1:18" s="44" customFormat="1" ht="30" outlineLevel="2" x14ac:dyDescent="0.25">
      <c r="A257" s="3" t="s">
        <v>24</v>
      </c>
      <c r="B257" s="2" t="s">
        <v>1315</v>
      </c>
      <c r="C257" s="12" t="s">
        <v>39</v>
      </c>
      <c r="D257" s="2" t="s">
        <v>1458</v>
      </c>
      <c r="E257" s="3" t="s">
        <v>1949</v>
      </c>
      <c r="F257" s="2" t="s">
        <v>27</v>
      </c>
      <c r="G257" s="2" t="s">
        <v>1113</v>
      </c>
      <c r="H257" s="3" t="s">
        <v>166</v>
      </c>
      <c r="I257" s="5">
        <v>90912.2</v>
      </c>
      <c r="J257" s="5">
        <v>90912.2</v>
      </c>
      <c r="K257" s="12">
        <v>100</v>
      </c>
      <c r="L257" s="45">
        <f t="shared" si="10"/>
        <v>36364.879999999997</v>
      </c>
      <c r="M257" s="5"/>
      <c r="N257" s="5">
        <f t="shared" si="8"/>
        <v>90912.2</v>
      </c>
      <c r="O257" s="5">
        <f t="shared" si="9"/>
        <v>36364.879999999997</v>
      </c>
      <c r="P257" s="51" t="s">
        <v>2619</v>
      </c>
      <c r="Q257" s="8" t="s">
        <v>2480</v>
      </c>
      <c r="R257" s="61"/>
    </row>
    <row r="258" spans="1:18" s="44" customFormat="1" ht="30" outlineLevel="2" x14ac:dyDescent="0.25">
      <c r="A258" s="3" t="s">
        <v>24</v>
      </c>
      <c r="B258" s="2" t="s">
        <v>1315</v>
      </c>
      <c r="C258" s="12" t="s">
        <v>39</v>
      </c>
      <c r="D258" s="2" t="s">
        <v>1458</v>
      </c>
      <c r="E258" s="3" t="s">
        <v>1949</v>
      </c>
      <c r="F258" s="2" t="s">
        <v>165</v>
      </c>
      <c r="G258" s="2" t="s">
        <v>1113</v>
      </c>
      <c r="H258" s="3" t="s">
        <v>166</v>
      </c>
      <c r="I258" s="5">
        <v>76667.399999999994</v>
      </c>
      <c r="J258" s="5">
        <v>76667.399999999994</v>
      </c>
      <c r="K258" s="12">
        <v>100</v>
      </c>
      <c r="L258" s="45">
        <f t="shared" si="10"/>
        <v>30666.959999999999</v>
      </c>
      <c r="M258" s="5"/>
      <c r="N258" s="5">
        <f t="shared" si="8"/>
        <v>76667.399999999994</v>
      </c>
      <c r="O258" s="5">
        <f t="shared" si="9"/>
        <v>30666.959999999999</v>
      </c>
      <c r="P258" s="51" t="s">
        <v>2619</v>
      </c>
      <c r="Q258" s="8" t="s">
        <v>2480</v>
      </c>
      <c r="R258" s="61"/>
    </row>
    <row r="259" spans="1:18" ht="30" outlineLevel="2" x14ac:dyDescent="0.2">
      <c r="A259" s="3" t="s">
        <v>24</v>
      </c>
      <c r="B259" s="2" t="s">
        <v>1315</v>
      </c>
      <c r="C259" s="12" t="s">
        <v>39</v>
      </c>
      <c r="D259" s="2" t="s">
        <v>1459</v>
      </c>
      <c r="E259" s="6" t="s">
        <v>1949</v>
      </c>
      <c r="F259" s="2" t="s">
        <v>165</v>
      </c>
      <c r="G259" s="2" t="s">
        <v>1201</v>
      </c>
      <c r="H259" s="3" t="s">
        <v>166</v>
      </c>
      <c r="I259" s="5">
        <v>39029644.799999997</v>
      </c>
      <c r="J259" s="5">
        <v>39029644.799999997</v>
      </c>
      <c r="K259" s="12">
        <v>100</v>
      </c>
      <c r="L259" s="45">
        <f t="shared" si="10"/>
        <v>15611857.92</v>
      </c>
      <c r="M259" s="5"/>
      <c r="N259" s="5">
        <f t="shared" si="8"/>
        <v>39029644.799999997</v>
      </c>
      <c r="O259" s="5">
        <f t="shared" si="9"/>
        <v>15611857.92</v>
      </c>
      <c r="P259" s="51"/>
      <c r="Q259" s="8"/>
    </row>
    <row r="260" spans="1:18" s="44" customFormat="1" ht="30" outlineLevel="2" x14ac:dyDescent="0.25">
      <c r="A260" s="3" t="s">
        <v>24</v>
      </c>
      <c r="B260" s="2" t="s">
        <v>1315</v>
      </c>
      <c r="C260" s="12" t="s">
        <v>39</v>
      </c>
      <c r="D260" s="2" t="s">
        <v>1460</v>
      </c>
      <c r="E260" s="3" t="s">
        <v>1949</v>
      </c>
      <c r="F260" s="2" t="s">
        <v>165</v>
      </c>
      <c r="G260" s="2" t="s">
        <v>533</v>
      </c>
      <c r="H260" s="3" t="s">
        <v>166</v>
      </c>
      <c r="I260" s="5">
        <v>17735710.18</v>
      </c>
      <c r="J260" s="5">
        <v>17735710.18</v>
      </c>
      <c r="K260" s="12">
        <v>100</v>
      </c>
      <c r="L260" s="45">
        <f t="shared" si="10"/>
        <v>7094284.0720000006</v>
      </c>
      <c r="M260" s="5"/>
      <c r="N260" s="5">
        <f t="shared" si="8"/>
        <v>17735710.18</v>
      </c>
      <c r="O260" s="5">
        <f t="shared" si="9"/>
        <v>7094284.0720000006</v>
      </c>
      <c r="P260" s="51"/>
      <c r="Q260" s="8" t="s">
        <v>2824</v>
      </c>
      <c r="R260" s="61"/>
    </row>
    <row r="261" spans="1:18" s="44" customFormat="1" ht="45" outlineLevel="2" x14ac:dyDescent="0.25">
      <c r="A261" s="3" t="s">
        <v>24</v>
      </c>
      <c r="B261" s="2" t="s">
        <v>1315</v>
      </c>
      <c r="C261" s="12" t="s">
        <v>39</v>
      </c>
      <c r="D261" s="2" t="s">
        <v>1461</v>
      </c>
      <c r="E261" s="3" t="s">
        <v>1949</v>
      </c>
      <c r="F261" s="2" t="s">
        <v>165</v>
      </c>
      <c r="G261" s="2" t="s">
        <v>1117</v>
      </c>
      <c r="H261" s="3" t="s">
        <v>166</v>
      </c>
      <c r="I261" s="5">
        <v>1080528.79</v>
      </c>
      <c r="J261" s="5">
        <v>1080528.79</v>
      </c>
      <c r="K261" s="12">
        <v>100</v>
      </c>
      <c r="L261" s="45">
        <f t="shared" si="10"/>
        <v>432211.51600000006</v>
      </c>
      <c r="M261" s="5"/>
      <c r="N261" s="5">
        <f t="shared" si="8"/>
        <v>1080528.79</v>
      </c>
      <c r="O261" s="5">
        <f t="shared" si="9"/>
        <v>432211.51600000006</v>
      </c>
      <c r="P261" s="51"/>
      <c r="Q261" s="8" t="s">
        <v>2825</v>
      </c>
      <c r="R261" s="61"/>
    </row>
    <row r="262" spans="1:18" s="44" customFormat="1" ht="30" outlineLevel="2" x14ac:dyDescent="0.25">
      <c r="A262" s="3" t="s">
        <v>24</v>
      </c>
      <c r="B262" s="2" t="s">
        <v>1315</v>
      </c>
      <c r="C262" s="12" t="s">
        <v>39</v>
      </c>
      <c r="D262" s="2" t="s">
        <v>1462</v>
      </c>
      <c r="E262" s="3" t="s">
        <v>1949</v>
      </c>
      <c r="F262" s="2" t="s">
        <v>167</v>
      </c>
      <c r="G262" s="2" t="s">
        <v>478</v>
      </c>
      <c r="H262" s="3" t="s">
        <v>166</v>
      </c>
      <c r="I262" s="5">
        <v>23654.38</v>
      </c>
      <c r="J262" s="5">
        <v>23654.38</v>
      </c>
      <c r="K262" s="12">
        <v>100</v>
      </c>
      <c r="L262" s="45">
        <f t="shared" si="10"/>
        <v>9461.7520000000004</v>
      </c>
      <c r="M262" s="5"/>
      <c r="N262" s="5">
        <f t="shared" si="8"/>
        <v>23654.38</v>
      </c>
      <c r="O262" s="5">
        <f t="shared" si="9"/>
        <v>9461.7520000000004</v>
      </c>
      <c r="P262" s="51"/>
      <c r="Q262" s="8" t="s">
        <v>2480</v>
      </c>
      <c r="R262" s="61"/>
    </row>
    <row r="263" spans="1:18" s="44" customFormat="1" ht="30" outlineLevel="2" x14ac:dyDescent="0.25">
      <c r="A263" s="3" t="s">
        <v>24</v>
      </c>
      <c r="B263" s="2" t="s">
        <v>1315</v>
      </c>
      <c r="C263" s="12" t="s">
        <v>39</v>
      </c>
      <c r="D263" s="2" t="s">
        <v>1462</v>
      </c>
      <c r="E263" s="3" t="s">
        <v>1949</v>
      </c>
      <c r="F263" s="2" t="s">
        <v>165</v>
      </c>
      <c r="G263" s="2" t="s">
        <v>478</v>
      </c>
      <c r="H263" s="3" t="s">
        <v>166</v>
      </c>
      <c r="I263" s="5">
        <v>19948.03</v>
      </c>
      <c r="J263" s="5">
        <v>19948.03</v>
      </c>
      <c r="K263" s="12">
        <v>100</v>
      </c>
      <c r="L263" s="45">
        <f t="shared" si="10"/>
        <v>7979.2119999999995</v>
      </c>
      <c r="M263" s="5"/>
      <c r="N263" s="5">
        <f t="shared" si="8"/>
        <v>19948.03</v>
      </c>
      <c r="O263" s="5">
        <f t="shared" si="9"/>
        <v>7979.2119999999995</v>
      </c>
      <c r="P263" s="51"/>
      <c r="Q263" s="8" t="s">
        <v>2480</v>
      </c>
      <c r="R263" s="61"/>
    </row>
    <row r="264" spans="1:18" s="44" customFormat="1" ht="45" outlineLevel="2" x14ac:dyDescent="0.25">
      <c r="A264" s="3" t="s">
        <v>24</v>
      </c>
      <c r="B264" s="2" t="s">
        <v>1315</v>
      </c>
      <c r="C264" s="12" t="s">
        <v>39</v>
      </c>
      <c r="D264" s="2" t="s">
        <v>1463</v>
      </c>
      <c r="E264" s="3" t="s">
        <v>1949</v>
      </c>
      <c r="F264" s="2" t="s">
        <v>482</v>
      </c>
      <c r="G264" s="2" t="s">
        <v>147</v>
      </c>
      <c r="H264" s="3" t="s">
        <v>166</v>
      </c>
      <c r="I264" s="5">
        <v>45899</v>
      </c>
      <c r="J264" s="5">
        <v>45899</v>
      </c>
      <c r="K264" s="12">
        <v>100</v>
      </c>
      <c r="L264" s="45">
        <f t="shared" si="10"/>
        <v>18359.600000000002</v>
      </c>
      <c r="M264" s="5"/>
      <c r="N264" s="5">
        <f t="shared" si="8"/>
        <v>45899</v>
      </c>
      <c r="O264" s="5">
        <f t="shared" si="9"/>
        <v>18359.600000000002</v>
      </c>
      <c r="P264" s="51" t="s">
        <v>2609</v>
      </c>
      <c r="Q264" s="8" t="s">
        <v>2820</v>
      </c>
      <c r="R264" s="61"/>
    </row>
    <row r="265" spans="1:18" s="44" customFormat="1" ht="45" outlineLevel="2" x14ac:dyDescent="0.25">
      <c r="A265" s="3" t="s">
        <v>24</v>
      </c>
      <c r="B265" s="2" t="s">
        <v>1315</v>
      </c>
      <c r="C265" s="12" t="s">
        <v>39</v>
      </c>
      <c r="D265" s="2" t="s">
        <v>1463</v>
      </c>
      <c r="E265" s="3" t="s">
        <v>1949</v>
      </c>
      <c r="F265" s="2" t="s">
        <v>165</v>
      </c>
      <c r="G265" s="2" t="s">
        <v>147</v>
      </c>
      <c r="H265" s="3" t="s">
        <v>166</v>
      </c>
      <c r="I265" s="5">
        <v>38707.199999999997</v>
      </c>
      <c r="J265" s="5">
        <v>38707.199999999997</v>
      </c>
      <c r="K265" s="12">
        <v>100</v>
      </c>
      <c r="L265" s="45">
        <f t="shared" si="10"/>
        <v>15482.88</v>
      </c>
      <c r="M265" s="5"/>
      <c r="N265" s="5">
        <f t="shared" si="8"/>
        <v>38707.199999999997</v>
      </c>
      <c r="O265" s="5">
        <f t="shared" si="9"/>
        <v>15482.88</v>
      </c>
      <c r="P265" s="51" t="s">
        <v>2609</v>
      </c>
      <c r="Q265" s="8" t="s">
        <v>2820</v>
      </c>
      <c r="R265" s="61"/>
    </row>
    <row r="266" spans="1:18" s="44" customFormat="1" ht="30" outlineLevel="2" x14ac:dyDescent="0.25">
      <c r="A266" s="3" t="s">
        <v>24</v>
      </c>
      <c r="B266" s="2" t="s">
        <v>1315</v>
      </c>
      <c r="C266" s="12" t="s">
        <v>39</v>
      </c>
      <c r="D266" s="2" t="s">
        <v>765</v>
      </c>
      <c r="E266" s="3" t="s">
        <v>1949</v>
      </c>
      <c r="F266" s="2" t="s">
        <v>165</v>
      </c>
      <c r="G266" s="2" t="s">
        <v>1425</v>
      </c>
      <c r="H266" s="3" t="s">
        <v>166</v>
      </c>
      <c r="I266" s="5">
        <v>263717.71999999997</v>
      </c>
      <c r="J266" s="5">
        <v>263717.71999999997</v>
      </c>
      <c r="K266" s="12">
        <v>100</v>
      </c>
      <c r="L266" s="45">
        <f t="shared" si="10"/>
        <v>105487.08799999999</v>
      </c>
      <c r="M266" s="5"/>
      <c r="N266" s="5">
        <f t="shared" si="8"/>
        <v>263717.71999999997</v>
      </c>
      <c r="O266" s="5">
        <f t="shared" si="9"/>
        <v>105487.08799999999</v>
      </c>
      <c r="P266" s="51"/>
      <c r="Q266" s="8" t="s">
        <v>2826</v>
      </c>
      <c r="R266" s="61"/>
    </row>
    <row r="267" spans="1:18" s="44" customFormat="1" ht="30" outlineLevel="2" x14ac:dyDescent="0.25">
      <c r="A267" s="3" t="s">
        <v>24</v>
      </c>
      <c r="B267" s="2" t="s">
        <v>1315</v>
      </c>
      <c r="C267" s="12" t="s">
        <v>39</v>
      </c>
      <c r="D267" s="2" t="s">
        <v>473</v>
      </c>
      <c r="E267" s="3" t="s">
        <v>1949</v>
      </c>
      <c r="F267" s="2" t="s">
        <v>167</v>
      </c>
      <c r="G267" s="2" t="s">
        <v>468</v>
      </c>
      <c r="H267" s="3" t="s">
        <v>166</v>
      </c>
      <c r="I267" s="5">
        <v>15611.82</v>
      </c>
      <c r="J267" s="5">
        <v>15611.82</v>
      </c>
      <c r="K267" s="12">
        <v>100</v>
      </c>
      <c r="L267" s="45">
        <f t="shared" si="10"/>
        <v>6244.7280000000001</v>
      </c>
      <c r="M267" s="5"/>
      <c r="N267" s="5">
        <f t="shared" si="8"/>
        <v>15611.82</v>
      </c>
      <c r="O267" s="5">
        <f t="shared" si="9"/>
        <v>6244.7280000000001</v>
      </c>
      <c r="P267" s="51"/>
      <c r="Q267" s="8"/>
      <c r="R267" s="61"/>
    </row>
    <row r="268" spans="1:18" s="44" customFormat="1" ht="30" outlineLevel="2" x14ac:dyDescent="0.25">
      <c r="A268" s="3" t="s">
        <v>24</v>
      </c>
      <c r="B268" s="2" t="s">
        <v>1315</v>
      </c>
      <c r="C268" s="12" t="s">
        <v>39</v>
      </c>
      <c r="D268" s="2" t="s">
        <v>1464</v>
      </c>
      <c r="E268" s="3" t="s">
        <v>1949</v>
      </c>
      <c r="F268" s="2" t="s">
        <v>772</v>
      </c>
      <c r="G268" s="2" t="s">
        <v>1362</v>
      </c>
      <c r="H268" s="3" t="s">
        <v>166</v>
      </c>
      <c r="I268" s="5">
        <v>386181.67</v>
      </c>
      <c r="J268" s="5">
        <v>308945.34000000003</v>
      </c>
      <c r="K268" s="12">
        <v>80</v>
      </c>
      <c r="L268" s="45">
        <f t="shared" si="10"/>
        <v>154472.66800000001</v>
      </c>
      <c r="M268" s="5"/>
      <c r="N268" s="5">
        <f t="shared" si="8"/>
        <v>308945.34000000003</v>
      </c>
      <c r="O268" s="5">
        <f t="shared" si="9"/>
        <v>154472.66800000001</v>
      </c>
      <c r="P268" s="51" t="s">
        <v>2489</v>
      </c>
      <c r="Q268" s="8" t="s">
        <v>2820</v>
      </c>
      <c r="R268" s="61"/>
    </row>
    <row r="269" spans="1:18" s="44" customFormat="1" ht="30" outlineLevel="2" x14ac:dyDescent="0.25">
      <c r="A269" s="3" t="s">
        <v>24</v>
      </c>
      <c r="B269" s="2" t="s">
        <v>1315</v>
      </c>
      <c r="C269" s="12" t="s">
        <v>39</v>
      </c>
      <c r="D269" s="2" t="s">
        <v>1464</v>
      </c>
      <c r="E269" s="3" t="s">
        <v>1949</v>
      </c>
      <c r="F269" s="2" t="s">
        <v>567</v>
      </c>
      <c r="G269" s="2" t="s">
        <v>1362</v>
      </c>
      <c r="H269" s="3" t="s">
        <v>166</v>
      </c>
      <c r="I269" s="5">
        <v>325671.84000000003</v>
      </c>
      <c r="J269" s="5">
        <v>260537.47</v>
      </c>
      <c r="K269" s="12">
        <v>80</v>
      </c>
      <c r="L269" s="45">
        <f t="shared" si="10"/>
        <v>130268.73600000002</v>
      </c>
      <c r="M269" s="5"/>
      <c r="N269" s="5">
        <f t="shared" si="8"/>
        <v>260537.47</v>
      </c>
      <c r="O269" s="5">
        <f t="shared" si="9"/>
        <v>130268.73600000002</v>
      </c>
      <c r="P269" s="51" t="s">
        <v>2609</v>
      </c>
      <c r="Q269" s="8" t="s">
        <v>2820</v>
      </c>
      <c r="R269" s="61"/>
    </row>
    <row r="270" spans="1:18" s="44" customFormat="1" ht="45" outlineLevel="2" x14ac:dyDescent="0.25">
      <c r="A270" s="3" t="s">
        <v>24</v>
      </c>
      <c r="B270" s="2" t="s">
        <v>1315</v>
      </c>
      <c r="C270" s="12" t="s">
        <v>39</v>
      </c>
      <c r="D270" s="2" t="s">
        <v>2409</v>
      </c>
      <c r="E270" s="3" t="s">
        <v>1949</v>
      </c>
      <c r="F270" s="2" t="s">
        <v>165</v>
      </c>
      <c r="G270" s="2" t="s">
        <v>1135</v>
      </c>
      <c r="H270" s="3" t="s">
        <v>166</v>
      </c>
      <c r="I270" s="5">
        <v>201776.3</v>
      </c>
      <c r="J270" s="5">
        <v>201776.3</v>
      </c>
      <c r="K270" s="12">
        <v>100</v>
      </c>
      <c r="L270" s="45">
        <f t="shared" si="10"/>
        <v>80710.52</v>
      </c>
      <c r="M270" s="5"/>
      <c r="N270" s="5">
        <f t="shared" ref="N270:N304" si="11">J270-M270</f>
        <v>201776.3</v>
      </c>
      <c r="O270" s="5">
        <f t="shared" ref="O270:O303" si="12">L270-M270</f>
        <v>80710.52</v>
      </c>
      <c r="P270" s="51"/>
      <c r="Q270" s="8" t="s">
        <v>2410</v>
      </c>
      <c r="R270" s="61"/>
    </row>
    <row r="271" spans="1:18" s="44" customFormat="1" ht="30" outlineLevel="2" x14ac:dyDescent="0.25">
      <c r="A271" s="3" t="s">
        <v>24</v>
      </c>
      <c r="B271" s="2" t="s">
        <v>1315</v>
      </c>
      <c r="C271" s="12" t="s">
        <v>39</v>
      </c>
      <c r="D271" s="2" t="s">
        <v>1465</v>
      </c>
      <c r="E271" s="3" t="s">
        <v>1949</v>
      </c>
      <c r="F271" s="2" t="s">
        <v>167</v>
      </c>
      <c r="G271" s="2" t="s">
        <v>1135</v>
      </c>
      <c r="H271" s="3" t="s">
        <v>166</v>
      </c>
      <c r="I271" s="5">
        <v>170160.48</v>
      </c>
      <c r="J271" s="5">
        <v>170160.48</v>
      </c>
      <c r="K271" s="12">
        <v>100</v>
      </c>
      <c r="L271" s="45">
        <f t="shared" ref="L271:L304" si="13">I271*40%</f>
        <v>68064.19200000001</v>
      </c>
      <c r="M271" s="5"/>
      <c r="N271" s="5">
        <f t="shared" si="11"/>
        <v>170160.48</v>
      </c>
      <c r="O271" s="5">
        <f t="shared" si="12"/>
        <v>68064.19200000001</v>
      </c>
      <c r="P271" s="51" t="s">
        <v>2489</v>
      </c>
      <c r="Q271" s="8" t="s">
        <v>2820</v>
      </c>
      <c r="R271" s="61"/>
    </row>
    <row r="272" spans="1:18" s="44" customFormat="1" ht="30" outlineLevel="2" x14ac:dyDescent="0.25">
      <c r="A272" s="3" t="s">
        <v>24</v>
      </c>
      <c r="B272" s="2" t="s">
        <v>1315</v>
      </c>
      <c r="C272" s="12" t="s">
        <v>39</v>
      </c>
      <c r="D272" s="2" t="s">
        <v>1466</v>
      </c>
      <c r="E272" s="3" t="s">
        <v>1949</v>
      </c>
      <c r="F272" s="2" t="s">
        <v>167</v>
      </c>
      <c r="G272" s="2" t="s">
        <v>457</v>
      </c>
      <c r="H272" s="3" t="s">
        <v>166</v>
      </c>
      <c r="I272" s="5">
        <v>1948589.87</v>
      </c>
      <c r="J272" s="5">
        <v>1948589.87</v>
      </c>
      <c r="K272" s="12">
        <v>100</v>
      </c>
      <c r="L272" s="45">
        <f t="shared" si="13"/>
        <v>779435.94800000009</v>
      </c>
      <c r="M272" s="5"/>
      <c r="N272" s="5">
        <f t="shared" si="11"/>
        <v>1948589.87</v>
      </c>
      <c r="O272" s="5">
        <f t="shared" si="12"/>
        <v>779435.94800000009</v>
      </c>
      <c r="P272" s="51" t="s">
        <v>2619</v>
      </c>
      <c r="Q272" s="8" t="s">
        <v>2480</v>
      </c>
      <c r="R272" s="61"/>
    </row>
    <row r="273" spans="1:18" s="44" customFormat="1" ht="90" outlineLevel="2" x14ac:dyDescent="0.25">
      <c r="A273" s="3" t="s">
        <v>24</v>
      </c>
      <c r="B273" s="2" t="s">
        <v>1315</v>
      </c>
      <c r="C273" s="12" t="s">
        <v>39</v>
      </c>
      <c r="D273" s="2" t="s">
        <v>1467</v>
      </c>
      <c r="E273" s="3" t="s">
        <v>1949</v>
      </c>
      <c r="F273" s="2" t="s">
        <v>167</v>
      </c>
      <c r="G273" s="2" t="s">
        <v>674</v>
      </c>
      <c r="H273" s="3" t="s">
        <v>166</v>
      </c>
      <c r="I273" s="5">
        <v>5031896.96</v>
      </c>
      <c r="J273" s="5">
        <v>5031896.96</v>
      </c>
      <c r="K273" s="12">
        <v>100</v>
      </c>
      <c r="L273" s="45">
        <f t="shared" si="13"/>
        <v>2012758.784</v>
      </c>
      <c r="M273" s="5"/>
      <c r="N273" s="5">
        <f t="shared" si="11"/>
        <v>5031896.96</v>
      </c>
      <c r="O273" s="5">
        <f t="shared" si="12"/>
        <v>2012758.784</v>
      </c>
      <c r="P273" s="51" t="s">
        <v>2031</v>
      </c>
      <c r="Q273" s="8" t="s">
        <v>2827</v>
      </c>
      <c r="R273" s="61"/>
    </row>
    <row r="274" spans="1:18" s="44" customFormat="1" ht="30" outlineLevel="2" x14ac:dyDescent="0.25">
      <c r="A274" s="3" t="s">
        <v>24</v>
      </c>
      <c r="B274" s="2" t="s">
        <v>1315</v>
      </c>
      <c r="C274" s="12" t="s">
        <v>39</v>
      </c>
      <c r="D274" s="2" t="s">
        <v>1468</v>
      </c>
      <c r="E274" s="3" t="s">
        <v>1949</v>
      </c>
      <c r="F274" s="2" t="s">
        <v>167</v>
      </c>
      <c r="G274" s="2" t="s">
        <v>1178</v>
      </c>
      <c r="H274" s="3" t="s">
        <v>166</v>
      </c>
      <c r="I274" s="5">
        <v>741484.79</v>
      </c>
      <c r="J274" s="5">
        <v>741484.79</v>
      </c>
      <c r="K274" s="12">
        <v>100</v>
      </c>
      <c r="L274" s="45">
        <f t="shared" si="13"/>
        <v>296593.91600000003</v>
      </c>
      <c r="M274" s="5"/>
      <c r="N274" s="5">
        <f t="shared" si="11"/>
        <v>741484.79</v>
      </c>
      <c r="O274" s="5">
        <f t="shared" si="12"/>
        <v>296593.91600000003</v>
      </c>
      <c r="P274" s="51" t="s">
        <v>2489</v>
      </c>
      <c r="Q274" s="8" t="s">
        <v>2820</v>
      </c>
      <c r="R274" s="61"/>
    </row>
    <row r="275" spans="1:18" s="44" customFormat="1" ht="30" outlineLevel="2" x14ac:dyDescent="0.25">
      <c r="A275" s="3" t="s">
        <v>24</v>
      </c>
      <c r="B275" s="2" t="s">
        <v>1315</v>
      </c>
      <c r="C275" s="12" t="s">
        <v>39</v>
      </c>
      <c r="D275" s="2" t="s">
        <v>1469</v>
      </c>
      <c r="E275" s="3" t="s">
        <v>1949</v>
      </c>
      <c r="F275" s="2" t="s">
        <v>167</v>
      </c>
      <c r="G275" s="2" t="s">
        <v>1178</v>
      </c>
      <c r="H275" s="3" t="s">
        <v>166</v>
      </c>
      <c r="I275" s="5">
        <v>625303.41</v>
      </c>
      <c r="J275" s="5">
        <v>625303.41</v>
      </c>
      <c r="K275" s="12">
        <v>100</v>
      </c>
      <c r="L275" s="45">
        <f t="shared" si="13"/>
        <v>250121.36400000003</v>
      </c>
      <c r="M275" s="5"/>
      <c r="N275" s="5">
        <f t="shared" si="11"/>
        <v>625303.41</v>
      </c>
      <c r="O275" s="5">
        <f t="shared" si="12"/>
        <v>250121.36400000003</v>
      </c>
      <c r="P275" s="51" t="s">
        <v>2609</v>
      </c>
      <c r="Q275" s="8" t="s">
        <v>2820</v>
      </c>
      <c r="R275" s="61"/>
    </row>
    <row r="276" spans="1:18" s="44" customFormat="1" ht="30" outlineLevel="2" x14ac:dyDescent="0.25">
      <c r="A276" s="3" t="s">
        <v>24</v>
      </c>
      <c r="B276" s="2" t="s">
        <v>1315</v>
      </c>
      <c r="C276" s="12" t="s">
        <v>39</v>
      </c>
      <c r="D276" s="2" t="s">
        <v>1470</v>
      </c>
      <c r="E276" s="3" t="s">
        <v>1949</v>
      </c>
      <c r="F276" s="2" t="s">
        <v>165</v>
      </c>
      <c r="G276" s="2" t="s">
        <v>1153</v>
      </c>
      <c r="H276" s="3" t="s">
        <v>166</v>
      </c>
      <c r="I276" s="5">
        <v>129432.61</v>
      </c>
      <c r="J276" s="5">
        <v>129432.61</v>
      </c>
      <c r="K276" s="12">
        <v>100</v>
      </c>
      <c r="L276" s="45">
        <f t="shared" si="13"/>
        <v>51773.044000000002</v>
      </c>
      <c r="M276" s="5"/>
      <c r="N276" s="5">
        <f t="shared" si="11"/>
        <v>129432.61</v>
      </c>
      <c r="O276" s="5">
        <f t="shared" si="12"/>
        <v>51773.044000000002</v>
      </c>
      <c r="P276" s="51" t="s">
        <v>2489</v>
      </c>
      <c r="Q276" s="8" t="s">
        <v>2820</v>
      </c>
      <c r="R276" s="61"/>
    </row>
    <row r="277" spans="1:18" s="44" customFormat="1" ht="30" outlineLevel="2" x14ac:dyDescent="0.25">
      <c r="A277" s="3" t="s">
        <v>24</v>
      </c>
      <c r="B277" s="2" t="s">
        <v>1315</v>
      </c>
      <c r="C277" s="12" t="s">
        <v>39</v>
      </c>
      <c r="D277" s="2" t="s">
        <v>1470</v>
      </c>
      <c r="E277" s="3" t="s">
        <v>1949</v>
      </c>
      <c r="F277" s="2" t="s">
        <v>165</v>
      </c>
      <c r="G277" s="2" t="s">
        <v>1153</v>
      </c>
      <c r="H277" s="3" t="s">
        <v>166</v>
      </c>
      <c r="I277" s="5">
        <v>109152.14</v>
      </c>
      <c r="J277" s="5">
        <v>109152.14</v>
      </c>
      <c r="K277" s="12">
        <v>100</v>
      </c>
      <c r="L277" s="45">
        <f t="shared" si="13"/>
        <v>43660.856</v>
      </c>
      <c r="M277" s="5"/>
      <c r="N277" s="5">
        <f t="shared" si="11"/>
        <v>109152.14</v>
      </c>
      <c r="O277" s="5">
        <f t="shared" si="12"/>
        <v>43660.856</v>
      </c>
      <c r="P277" s="51" t="s">
        <v>2489</v>
      </c>
      <c r="Q277" s="8" t="s">
        <v>2820</v>
      </c>
      <c r="R277" s="61"/>
    </row>
    <row r="278" spans="1:18" s="44" customFormat="1" ht="30" outlineLevel="2" x14ac:dyDescent="0.25">
      <c r="A278" s="3" t="s">
        <v>24</v>
      </c>
      <c r="B278" s="2" t="s">
        <v>1315</v>
      </c>
      <c r="C278" s="12" t="s">
        <v>39</v>
      </c>
      <c r="D278" s="2" t="s">
        <v>1471</v>
      </c>
      <c r="E278" s="3" t="s">
        <v>1949</v>
      </c>
      <c r="F278" s="2" t="s">
        <v>167</v>
      </c>
      <c r="G278" s="2" t="s">
        <v>1108</v>
      </c>
      <c r="H278" s="3" t="s">
        <v>166</v>
      </c>
      <c r="I278" s="5">
        <v>13507.45</v>
      </c>
      <c r="J278" s="5">
        <v>13507.45</v>
      </c>
      <c r="K278" s="12">
        <v>100</v>
      </c>
      <c r="L278" s="45">
        <f t="shared" si="13"/>
        <v>5402.9800000000005</v>
      </c>
      <c r="M278" s="5"/>
      <c r="N278" s="5">
        <f t="shared" si="11"/>
        <v>13507.45</v>
      </c>
      <c r="O278" s="5">
        <f t="shared" si="12"/>
        <v>5402.9800000000005</v>
      </c>
      <c r="P278" s="51" t="s">
        <v>2489</v>
      </c>
      <c r="Q278" s="8" t="s">
        <v>2820</v>
      </c>
      <c r="R278" s="61"/>
    </row>
    <row r="279" spans="1:18" s="44" customFormat="1" ht="30" outlineLevel="2" x14ac:dyDescent="0.25">
      <c r="A279" s="3" t="s">
        <v>24</v>
      </c>
      <c r="B279" s="2" t="s">
        <v>1315</v>
      </c>
      <c r="C279" s="12" t="s">
        <v>39</v>
      </c>
      <c r="D279" s="2" t="s">
        <v>1471</v>
      </c>
      <c r="E279" s="3" t="s">
        <v>1949</v>
      </c>
      <c r="F279" s="2" t="s">
        <v>167</v>
      </c>
      <c r="G279" s="2" t="s">
        <v>1108</v>
      </c>
      <c r="H279" s="3" t="s">
        <v>166</v>
      </c>
      <c r="I279" s="5">
        <v>11391</v>
      </c>
      <c r="J279" s="5">
        <v>11391</v>
      </c>
      <c r="K279" s="12">
        <v>100</v>
      </c>
      <c r="L279" s="45">
        <f t="shared" si="13"/>
        <v>4556.4000000000005</v>
      </c>
      <c r="M279" s="5"/>
      <c r="N279" s="5">
        <f t="shared" si="11"/>
        <v>11391</v>
      </c>
      <c r="O279" s="5">
        <f t="shared" si="12"/>
        <v>4556.4000000000005</v>
      </c>
      <c r="P279" s="51" t="s">
        <v>2489</v>
      </c>
      <c r="Q279" s="8" t="s">
        <v>2820</v>
      </c>
      <c r="R279" s="61"/>
    </row>
    <row r="280" spans="1:18" ht="75" outlineLevel="2" x14ac:dyDescent="0.2">
      <c r="A280" s="3" t="s">
        <v>24</v>
      </c>
      <c r="B280" s="2" t="s">
        <v>1315</v>
      </c>
      <c r="C280" s="12" t="s">
        <v>39</v>
      </c>
      <c r="D280" s="2" t="s">
        <v>1472</v>
      </c>
      <c r="E280" s="6" t="s">
        <v>1949</v>
      </c>
      <c r="F280" s="2" t="s">
        <v>165</v>
      </c>
      <c r="G280" s="2" t="s">
        <v>1388</v>
      </c>
      <c r="H280" s="3" t="s">
        <v>166</v>
      </c>
      <c r="I280" s="5">
        <v>39266052.219999999</v>
      </c>
      <c r="J280" s="5">
        <v>39266052.219999999</v>
      </c>
      <c r="K280" s="12">
        <v>100</v>
      </c>
      <c r="L280" s="45">
        <f t="shared" si="13"/>
        <v>15706420.888</v>
      </c>
      <c r="M280" s="5"/>
      <c r="N280" s="5">
        <f t="shared" si="11"/>
        <v>39266052.219999999</v>
      </c>
      <c r="O280" s="5">
        <f t="shared" si="12"/>
        <v>15706420.888</v>
      </c>
      <c r="P280" s="51"/>
      <c r="Q280" s="8" t="s">
        <v>2828</v>
      </c>
    </row>
    <row r="281" spans="1:18" s="44" customFormat="1" ht="30" outlineLevel="2" x14ac:dyDescent="0.25">
      <c r="A281" s="3" t="s">
        <v>24</v>
      </c>
      <c r="B281" s="2" t="s">
        <v>1315</v>
      </c>
      <c r="C281" s="12" t="s">
        <v>39</v>
      </c>
      <c r="D281" s="2" t="s">
        <v>1473</v>
      </c>
      <c r="E281" s="3" t="s">
        <v>1949</v>
      </c>
      <c r="F281" s="2" t="s">
        <v>165</v>
      </c>
      <c r="G281" s="2" t="s">
        <v>505</v>
      </c>
      <c r="H281" s="3" t="s">
        <v>166</v>
      </c>
      <c r="I281" s="5">
        <v>8187394.6399999997</v>
      </c>
      <c r="J281" s="5">
        <v>8187394.6399999997</v>
      </c>
      <c r="K281" s="12">
        <v>100</v>
      </c>
      <c r="L281" s="45">
        <f t="shared" si="13"/>
        <v>3274957.8560000001</v>
      </c>
      <c r="M281" s="5"/>
      <c r="N281" s="5">
        <f t="shared" si="11"/>
        <v>8187394.6399999997</v>
      </c>
      <c r="O281" s="5">
        <f t="shared" si="12"/>
        <v>3274957.8560000001</v>
      </c>
      <c r="P281" s="51" t="s">
        <v>2491</v>
      </c>
      <c r="Q281" s="8" t="s">
        <v>2408</v>
      </c>
      <c r="R281" s="61"/>
    </row>
    <row r="282" spans="1:18" s="44" customFormat="1" ht="30" outlineLevel="2" x14ac:dyDescent="0.25">
      <c r="A282" s="3" t="s">
        <v>24</v>
      </c>
      <c r="B282" s="2" t="s">
        <v>1315</v>
      </c>
      <c r="C282" s="12" t="s">
        <v>39</v>
      </c>
      <c r="D282" s="2" t="s">
        <v>1474</v>
      </c>
      <c r="E282" s="3" t="s">
        <v>1949</v>
      </c>
      <c r="F282" s="2" t="s">
        <v>772</v>
      </c>
      <c r="G282" s="2" t="s">
        <v>467</v>
      </c>
      <c r="H282" s="3" t="s">
        <v>166</v>
      </c>
      <c r="I282" s="5">
        <v>3944314.49</v>
      </c>
      <c r="J282" s="5">
        <v>3155451.59</v>
      </c>
      <c r="K282" s="12">
        <v>80</v>
      </c>
      <c r="L282" s="45">
        <f t="shared" si="13"/>
        <v>1577725.7960000001</v>
      </c>
      <c r="M282" s="5"/>
      <c r="N282" s="5">
        <f t="shared" si="11"/>
        <v>3155451.59</v>
      </c>
      <c r="O282" s="5">
        <f t="shared" si="12"/>
        <v>1577725.7960000001</v>
      </c>
      <c r="P282" s="51" t="s">
        <v>2489</v>
      </c>
      <c r="Q282" s="8" t="s">
        <v>2820</v>
      </c>
      <c r="R282" s="61"/>
    </row>
    <row r="283" spans="1:18" s="44" customFormat="1" ht="30" outlineLevel="2" x14ac:dyDescent="0.25">
      <c r="A283" s="3" t="s">
        <v>24</v>
      </c>
      <c r="B283" s="2" t="s">
        <v>1315</v>
      </c>
      <c r="C283" s="12" t="s">
        <v>39</v>
      </c>
      <c r="D283" s="2" t="s">
        <v>1474</v>
      </c>
      <c r="E283" s="3" t="s">
        <v>1949</v>
      </c>
      <c r="F283" s="2" t="s">
        <v>567</v>
      </c>
      <c r="G283" s="2" t="s">
        <v>467</v>
      </c>
      <c r="H283" s="3" t="s">
        <v>166</v>
      </c>
      <c r="I283" s="5">
        <v>3326289.84</v>
      </c>
      <c r="J283" s="5">
        <v>2661031.87</v>
      </c>
      <c r="K283" s="12">
        <v>80</v>
      </c>
      <c r="L283" s="45">
        <f t="shared" si="13"/>
        <v>1330515.936</v>
      </c>
      <c r="M283" s="5"/>
      <c r="N283" s="5">
        <f t="shared" si="11"/>
        <v>2661031.87</v>
      </c>
      <c r="O283" s="5">
        <f t="shared" si="12"/>
        <v>1330515.936</v>
      </c>
      <c r="P283" s="51" t="s">
        <v>2489</v>
      </c>
      <c r="Q283" s="8" t="s">
        <v>2820</v>
      </c>
      <c r="R283" s="61"/>
    </row>
    <row r="284" spans="1:18" s="44" customFormat="1" ht="135" outlineLevel="2" x14ac:dyDescent="0.25">
      <c r="A284" s="3" t="s">
        <v>24</v>
      </c>
      <c r="B284" s="2" t="s">
        <v>1315</v>
      </c>
      <c r="C284" s="12" t="s">
        <v>39</v>
      </c>
      <c r="D284" s="2" t="s">
        <v>1475</v>
      </c>
      <c r="E284" s="3" t="s">
        <v>1949</v>
      </c>
      <c r="F284" s="2" t="s">
        <v>167</v>
      </c>
      <c r="G284" s="2" t="s">
        <v>1372</v>
      </c>
      <c r="H284" s="3" t="s">
        <v>166</v>
      </c>
      <c r="I284" s="5">
        <v>4109945.16</v>
      </c>
      <c r="J284" s="5">
        <v>4109945.16</v>
      </c>
      <c r="K284" s="12">
        <v>100</v>
      </c>
      <c r="L284" s="45">
        <f t="shared" si="13"/>
        <v>1643978.0640000002</v>
      </c>
      <c r="M284" s="5"/>
      <c r="N284" s="5">
        <f t="shared" si="11"/>
        <v>4109945.16</v>
      </c>
      <c r="O284" s="5">
        <f t="shared" si="12"/>
        <v>1643978.0640000002</v>
      </c>
      <c r="P284" s="51" t="s">
        <v>2620</v>
      </c>
      <c r="Q284" s="8" t="s">
        <v>2829</v>
      </c>
      <c r="R284" s="61"/>
    </row>
    <row r="285" spans="1:18" s="44" customFormat="1" ht="30" outlineLevel="2" x14ac:dyDescent="0.25">
      <c r="A285" s="3" t="s">
        <v>24</v>
      </c>
      <c r="B285" s="2" t="s">
        <v>1315</v>
      </c>
      <c r="C285" s="12" t="s">
        <v>39</v>
      </c>
      <c r="D285" s="2" t="s">
        <v>1476</v>
      </c>
      <c r="E285" s="3" t="s">
        <v>1949</v>
      </c>
      <c r="F285" s="2" t="s">
        <v>165</v>
      </c>
      <c r="G285" s="2" t="s">
        <v>321</v>
      </c>
      <c r="H285" s="3" t="s">
        <v>166</v>
      </c>
      <c r="I285" s="5">
        <v>466393.44</v>
      </c>
      <c r="J285" s="5">
        <v>466393.44</v>
      </c>
      <c r="K285" s="12">
        <v>100</v>
      </c>
      <c r="L285" s="45">
        <f t="shared" si="13"/>
        <v>186557.37600000002</v>
      </c>
      <c r="M285" s="5"/>
      <c r="N285" s="5">
        <f t="shared" si="11"/>
        <v>466393.44</v>
      </c>
      <c r="O285" s="5">
        <f t="shared" si="12"/>
        <v>186557.37600000002</v>
      </c>
      <c r="P285" s="51" t="s">
        <v>2489</v>
      </c>
      <c r="Q285" s="8" t="s">
        <v>2820</v>
      </c>
      <c r="R285" s="61"/>
    </row>
    <row r="286" spans="1:18" s="44" customFormat="1" ht="30" outlineLevel="2" x14ac:dyDescent="0.25">
      <c r="A286" s="3" t="s">
        <v>24</v>
      </c>
      <c r="B286" s="2" t="s">
        <v>1315</v>
      </c>
      <c r="C286" s="12" t="s">
        <v>39</v>
      </c>
      <c r="D286" s="2" t="s">
        <v>1477</v>
      </c>
      <c r="E286" s="3" t="s">
        <v>1949</v>
      </c>
      <c r="F286" s="2" t="s">
        <v>165</v>
      </c>
      <c r="G286" s="2" t="s">
        <v>321</v>
      </c>
      <c r="H286" s="3" t="s">
        <v>166</v>
      </c>
      <c r="I286" s="5">
        <v>393315.44</v>
      </c>
      <c r="J286" s="5">
        <v>393315.44</v>
      </c>
      <c r="K286" s="12">
        <v>100</v>
      </c>
      <c r="L286" s="45">
        <f t="shared" si="13"/>
        <v>157326.17600000001</v>
      </c>
      <c r="M286" s="5"/>
      <c r="N286" s="5">
        <f t="shared" si="11"/>
        <v>393315.44</v>
      </c>
      <c r="O286" s="5">
        <f t="shared" si="12"/>
        <v>157326.17600000001</v>
      </c>
      <c r="P286" s="51" t="s">
        <v>2489</v>
      </c>
      <c r="Q286" s="8" t="s">
        <v>2820</v>
      </c>
      <c r="R286" s="61"/>
    </row>
    <row r="287" spans="1:18" ht="30" outlineLevel="2" x14ac:dyDescent="0.2">
      <c r="A287" s="3" t="s">
        <v>24</v>
      </c>
      <c r="B287" s="2" t="s">
        <v>1315</v>
      </c>
      <c r="C287" s="12" t="s">
        <v>39</v>
      </c>
      <c r="D287" s="2" t="s">
        <v>1478</v>
      </c>
      <c r="E287" s="6" t="s">
        <v>1949</v>
      </c>
      <c r="F287" s="2" t="s">
        <v>165</v>
      </c>
      <c r="G287" s="2" t="s">
        <v>1479</v>
      </c>
      <c r="H287" s="3" t="s">
        <v>166</v>
      </c>
      <c r="I287" s="5">
        <v>42010376.539999999</v>
      </c>
      <c r="J287" s="5">
        <v>42010376.539999999</v>
      </c>
      <c r="K287" s="12">
        <v>100</v>
      </c>
      <c r="L287" s="45">
        <f t="shared" si="13"/>
        <v>16804150.616</v>
      </c>
      <c r="M287" s="5"/>
      <c r="N287" s="5">
        <f t="shared" si="11"/>
        <v>42010376.539999999</v>
      </c>
      <c r="O287" s="5">
        <f t="shared" si="12"/>
        <v>16804150.616</v>
      </c>
      <c r="P287" s="51" t="s">
        <v>2492</v>
      </c>
      <c r="Q287" s="8" t="s">
        <v>2830</v>
      </c>
    </row>
    <row r="288" spans="1:18" s="44" customFormat="1" ht="30" outlineLevel="2" x14ac:dyDescent="0.25">
      <c r="A288" s="3" t="s">
        <v>24</v>
      </c>
      <c r="B288" s="2" t="s">
        <v>1315</v>
      </c>
      <c r="C288" s="12" t="s">
        <v>39</v>
      </c>
      <c r="D288" s="2" t="s">
        <v>1480</v>
      </c>
      <c r="E288" s="3" t="s">
        <v>1949</v>
      </c>
      <c r="F288" s="2" t="s">
        <v>167</v>
      </c>
      <c r="G288" s="2" t="s">
        <v>1385</v>
      </c>
      <c r="H288" s="3" t="s">
        <v>166</v>
      </c>
      <c r="I288" s="5">
        <v>1105637.52</v>
      </c>
      <c r="J288" s="5">
        <v>1105637.52</v>
      </c>
      <c r="K288" s="12">
        <v>100</v>
      </c>
      <c r="L288" s="45">
        <f t="shared" si="13"/>
        <v>442255.00800000003</v>
      </c>
      <c r="M288" s="5"/>
      <c r="N288" s="5">
        <f t="shared" si="11"/>
        <v>1105637.52</v>
      </c>
      <c r="O288" s="5">
        <f t="shared" si="12"/>
        <v>442255.00800000003</v>
      </c>
      <c r="P288" s="51" t="s">
        <v>2619</v>
      </c>
      <c r="Q288" s="8" t="s">
        <v>2480</v>
      </c>
      <c r="R288" s="61"/>
    </row>
    <row r="289" spans="1:18" s="44" customFormat="1" ht="30" outlineLevel="2" x14ac:dyDescent="0.25">
      <c r="A289" s="3" t="s">
        <v>24</v>
      </c>
      <c r="B289" s="2" t="s">
        <v>1315</v>
      </c>
      <c r="C289" s="12" t="s">
        <v>39</v>
      </c>
      <c r="D289" s="2" t="s">
        <v>1472</v>
      </c>
      <c r="E289" s="3" t="s">
        <v>1949</v>
      </c>
      <c r="F289" s="2" t="s">
        <v>772</v>
      </c>
      <c r="G289" s="2" t="s">
        <v>1047</v>
      </c>
      <c r="H289" s="3" t="s">
        <v>166</v>
      </c>
      <c r="I289" s="5">
        <v>13188238.66</v>
      </c>
      <c r="J289" s="5">
        <v>10550590.93</v>
      </c>
      <c r="K289" s="12">
        <v>80</v>
      </c>
      <c r="L289" s="45">
        <f t="shared" si="13"/>
        <v>5275295.4640000006</v>
      </c>
      <c r="M289" s="5"/>
      <c r="N289" s="5">
        <f t="shared" si="11"/>
        <v>10550590.93</v>
      </c>
      <c r="O289" s="5">
        <f t="shared" si="12"/>
        <v>5275295.4640000006</v>
      </c>
      <c r="P289" s="51"/>
      <c r="Q289" s="8" t="s">
        <v>2826</v>
      </c>
      <c r="R289" s="61"/>
    </row>
    <row r="290" spans="1:18" s="44" customFormat="1" ht="30" outlineLevel="2" x14ac:dyDescent="0.25">
      <c r="A290" s="3" t="s">
        <v>24</v>
      </c>
      <c r="B290" s="2" t="s">
        <v>1635</v>
      </c>
      <c r="C290" s="12" t="s">
        <v>39</v>
      </c>
      <c r="D290" s="2" t="s">
        <v>452</v>
      </c>
      <c r="E290" s="3" t="s">
        <v>1949</v>
      </c>
      <c r="F290" s="2" t="s">
        <v>167</v>
      </c>
      <c r="G290" s="2" t="s">
        <v>450</v>
      </c>
      <c r="H290" s="3" t="s">
        <v>166</v>
      </c>
      <c r="I290" s="5">
        <v>430848.24</v>
      </c>
      <c r="J290" s="5">
        <v>430848.24</v>
      </c>
      <c r="K290" s="12">
        <v>100</v>
      </c>
      <c r="L290" s="45">
        <f t="shared" si="13"/>
        <v>172339.296</v>
      </c>
      <c r="M290" s="5"/>
      <c r="N290" s="5">
        <f t="shared" si="11"/>
        <v>430848.24</v>
      </c>
      <c r="O290" s="5">
        <f t="shared" si="12"/>
        <v>172339.296</v>
      </c>
      <c r="P290" s="51" t="s">
        <v>2491</v>
      </c>
      <c r="Q290" s="8" t="s">
        <v>2480</v>
      </c>
      <c r="R290" s="61"/>
    </row>
    <row r="291" spans="1:18" s="44" customFormat="1" ht="30" outlineLevel="2" x14ac:dyDescent="0.25">
      <c r="A291" s="3" t="s">
        <v>24</v>
      </c>
      <c r="B291" s="2" t="s">
        <v>1702</v>
      </c>
      <c r="C291" s="12" t="s">
        <v>39</v>
      </c>
      <c r="D291" s="2" t="s">
        <v>1705</v>
      </c>
      <c r="E291" s="3" t="s">
        <v>1949</v>
      </c>
      <c r="F291" s="2" t="s">
        <v>167</v>
      </c>
      <c r="G291" s="2" t="s">
        <v>1703</v>
      </c>
      <c r="H291" s="3" t="s">
        <v>166</v>
      </c>
      <c r="I291" s="5">
        <v>300000</v>
      </c>
      <c r="J291" s="5">
        <v>300000</v>
      </c>
      <c r="K291" s="12">
        <v>100</v>
      </c>
      <c r="L291" s="45">
        <f t="shared" si="13"/>
        <v>120000</v>
      </c>
      <c r="M291" s="5"/>
      <c r="N291" s="5">
        <f t="shared" si="11"/>
        <v>300000</v>
      </c>
      <c r="O291" s="5">
        <f t="shared" si="12"/>
        <v>120000</v>
      </c>
      <c r="P291" s="51" t="s">
        <v>2491</v>
      </c>
      <c r="Q291" s="8" t="s">
        <v>2486</v>
      </c>
      <c r="R291" s="61"/>
    </row>
    <row r="292" spans="1:18" s="44" customFormat="1" ht="30" outlineLevel="2" x14ac:dyDescent="0.25">
      <c r="A292" s="3" t="s">
        <v>24</v>
      </c>
      <c r="B292" s="2" t="s">
        <v>1730</v>
      </c>
      <c r="C292" s="12" t="s">
        <v>39</v>
      </c>
      <c r="D292" s="2" t="s">
        <v>1731</v>
      </c>
      <c r="E292" s="3" t="s">
        <v>1949</v>
      </c>
      <c r="F292" s="2" t="s">
        <v>167</v>
      </c>
      <c r="G292" s="2" t="s">
        <v>485</v>
      </c>
      <c r="H292" s="3" t="s">
        <v>166</v>
      </c>
      <c r="I292" s="5">
        <v>2469317.5</v>
      </c>
      <c r="J292" s="5">
        <v>2469317.5</v>
      </c>
      <c r="K292" s="12">
        <v>100</v>
      </c>
      <c r="L292" s="45">
        <f t="shared" si="13"/>
        <v>987727</v>
      </c>
      <c r="M292" s="5"/>
      <c r="N292" s="5">
        <f t="shared" si="11"/>
        <v>2469317.5</v>
      </c>
      <c r="O292" s="5">
        <f t="shared" si="12"/>
        <v>987727</v>
      </c>
      <c r="P292" s="51" t="s">
        <v>2492</v>
      </c>
      <c r="Q292" s="8" t="s">
        <v>2412</v>
      </c>
      <c r="R292" s="61"/>
    </row>
    <row r="293" spans="1:18" s="44" customFormat="1" ht="30" outlineLevel="2" x14ac:dyDescent="0.25">
      <c r="A293" s="3" t="s">
        <v>24</v>
      </c>
      <c r="B293" s="2" t="s">
        <v>1753</v>
      </c>
      <c r="C293" s="12" t="s">
        <v>39</v>
      </c>
      <c r="D293" s="2" t="s">
        <v>1476</v>
      </c>
      <c r="E293" s="3" t="s">
        <v>1949</v>
      </c>
      <c r="F293" s="2" t="s">
        <v>167</v>
      </c>
      <c r="G293" s="2" t="s">
        <v>321</v>
      </c>
      <c r="H293" s="3" t="s">
        <v>166</v>
      </c>
      <c r="I293" s="5">
        <v>100000</v>
      </c>
      <c r="J293" s="5">
        <v>100000</v>
      </c>
      <c r="K293" s="12">
        <v>100</v>
      </c>
      <c r="L293" s="45">
        <f t="shared" si="13"/>
        <v>40000</v>
      </c>
      <c r="M293" s="5"/>
      <c r="N293" s="5">
        <f t="shared" si="11"/>
        <v>100000</v>
      </c>
      <c r="O293" s="5">
        <f t="shared" si="12"/>
        <v>40000</v>
      </c>
      <c r="P293" s="51" t="s">
        <v>2415</v>
      </c>
      <c r="Q293" s="8" t="s">
        <v>2406</v>
      </c>
      <c r="R293" s="61"/>
    </row>
    <row r="294" spans="1:18" s="44" customFormat="1" ht="30" outlineLevel="2" x14ac:dyDescent="0.25">
      <c r="A294" s="3" t="s">
        <v>24</v>
      </c>
      <c r="B294" s="2" t="s">
        <v>1753</v>
      </c>
      <c r="C294" s="12" t="s">
        <v>39</v>
      </c>
      <c r="D294" s="2" t="s">
        <v>1757</v>
      </c>
      <c r="E294" s="3" t="s">
        <v>1949</v>
      </c>
      <c r="F294" s="2" t="s">
        <v>167</v>
      </c>
      <c r="G294" s="2" t="s">
        <v>561</v>
      </c>
      <c r="H294" s="3" t="s">
        <v>166</v>
      </c>
      <c r="I294" s="5">
        <v>5000000</v>
      </c>
      <c r="J294" s="5">
        <v>5000000</v>
      </c>
      <c r="K294" s="12">
        <v>100</v>
      </c>
      <c r="L294" s="45">
        <f t="shared" si="13"/>
        <v>2000000</v>
      </c>
      <c r="M294" s="5"/>
      <c r="N294" s="5">
        <f t="shared" si="11"/>
        <v>5000000</v>
      </c>
      <c r="O294" s="5">
        <f t="shared" si="12"/>
        <v>2000000</v>
      </c>
      <c r="P294" s="51" t="s">
        <v>2415</v>
      </c>
      <c r="Q294" s="8" t="s">
        <v>2406</v>
      </c>
      <c r="R294" s="61"/>
    </row>
    <row r="295" spans="1:18" ht="30" outlineLevel="2" x14ac:dyDescent="0.2">
      <c r="A295" s="3" t="s">
        <v>24</v>
      </c>
      <c r="B295" s="2" t="s">
        <v>1753</v>
      </c>
      <c r="C295" s="12" t="s">
        <v>39</v>
      </c>
      <c r="D295" s="2" t="s">
        <v>1759</v>
      </c>
      <c r="E295" s="6" t="s">
        <v>1949</v>
      </c>
      <c r="F295" s="2" t="s">
        <v>810</v>
      </c>
      <c r="G295" s="2" t="s">
        <v>1754</v>
      </c>
      <c r="H295" s="3" t="s">
        <v>107</v>
      </c>
      <c r="I295" s="5">
        <v>32198391.84</v>
      </c>
      <c r="J295" s="5">
        <v>32198391.84</v>
      </c>
      <c r="K295" s="12">
        <v>100</v>
      </c>
      <c r="L295" s="45">
        <f t="shared" si="13"/>
        <v>12879356.736000001</v>
      </c>
      <c r="M295" s="5"/>
      <c r="N295" s="5">
        <f t="shared" si="11"/>
        <v>32198391.84</v>
      </c>
      <c r="O295" s="5">
        <f t="shared" si="12"/>
        <v>12879356.736000001</v>
      </c>
      <c r="P295" s="51" t="s">
        <v>2625</v>
      </c>
      <c r="Q295" s="8" t="s">
        <v>2626</v>
      </c>
    </row>
    <row r="296" spans="1:18" s="44" customFormat="1" ht="30" outlineLevel="2" x14ac:dyDescent="0.25">
      <c r="A296" s="3" t="s">
        <v>24</v>
      </c>
      <c r="B296" s="2" t="s">
        <v>1760</v>
      </c>
      <c r="C296" s="12" t="s">
        <v>39</v>
      </c>
      <c r="D296" s="2" t="s">
        <v>1764</v>
      </c>
      <c r="E296" s="3" t="s">
        <v>1949</v>
      </c>
      <c r="F296" s="2" t="s">
        <v>567</v>
      </c>
      <c r="G296" s="2" t="s">
        <v>560</v>
      </c>
      <c r="H296" s="3" t="s">
        <v>166</v>
      </c>
      <c r="I296" s="5">
        <v>7154820</v>
      </c>
      <c r="J296" s="5">
        <v>5723856</v>
      </c>
      <c r="K296" s="12">
        <v>80</v>
      </c>
      <c r="L296" s="45">
        <f t="shared" si="13"/>
        <v>2861928</v>
      </c>
      <c r="M296" s="5"/>
      <c r="N296" s="5">
        <f t="shared" si="11"/>
        <v>5723856</v>
      </c>
      <c r="O296" s="5">
        <f t="shared" si="12"/>
        <v>2861928</v>
      </c>
      <c r="P296" s="51" t="s">
        <v>2491</v>
      </c>
      <c r="Q296" s="8" t="s">
        <v>2403</v>
      </c>
      <c r="R296" s="61"/>
    </row>
    <row r="297" spans="1:18" s="44" customFormat="1" ht="30" outlineLevel="2" x14ac:dyDescent="0.25">
      <c r="A297" s="3" t="s">
        <v>24</v>
      </c>
      <c r="B297" s="2" t="s">
        <v>1787</v>
      </c>
      <c r="C297" s="12" t="s">
        <v>39</v>
      </c>
      <c r="D297" s="2" t="s">
        <v>1122</v>
      </c>
      <c r="E297" s="3" t="s">
        <v>1949</v>
      </c>
      <c r="F297" s="2" t="s">
        <v>1788</v>
      </c>
      <c r="G297" s="2" t="s">
        <v>1119</v>
      </c>
      <c r="H297" s="3" t="s">
        <v>166</v>
      </c>
      <c r="I297" s="5">
        <v>1282881.08</v>
      </c>
      <c r="J297" s="5">
        <v>1282881.08</v>
      </c>
      <c r="K297" s="12">
        <v>100</v>
      </c>
      <c r="L297" s="45">
        <f t="shared" si="13"/>
        <v>513152.43200000003</v>
      </c>
      <c r="M297" s="5"/>
      <c r="N297" s="5">
        <f t="shared" si="11"/>
        <v>1282881.08</v>
      </c>
      <c r="O297" s="5">
        <f t="shared" si="12"/>
        <v>513152.43200000003</v>
      </c>
      <c r="P297" s="51" t="s">
        <v>2489</v>
      </c>
      <c r="Q297" s="8" t="s">
        <v>2820</v>
      </c>
      <c r="R297" s="61"/>
    </row>
    <row r="298" spans="1:18" s="44" customFormat="1" ht="30" outlineLevel="2" x14ac:dyDescent="0.25">
      <c r="A298" s="3" t="s">
        <v>24</v>
      </c>
      <c r="B298" s="2" t="s">
        <v>1787</v>
      </c>
      <c r="C298" s="12" t="s">
        <v>39</v>
      </c>
      <c r="D298" s="2" t="s">
        <v>1122</v>
      </c>
      <c r="E298" s="3" t="s">
        <v>1949</v>
      </c>
      <c r="F298" s="2" t="s">
        <v>1789</v>
      </c>
      <c r="G298" s="2" t="s">
        <v>1119</v>
      </c>
      <c r="H298" s="3" t="s">
        <v>166</v>
      </c>
      <c r="I298" s="5">
        <v>1081869.69</v>
      </c>
      <c r="J298" s="5">
        <v>1081869.69</v>
      </c>
      <c r="K298" s="12">
        <v>100</v>
      </c>
      <c r="L298" s="45">
        <f t="shared" si="13"/>
        <v>432747.87599999999</v>
      </c>
      <c r="M298" s="5"/>
      <c r="N298" s="5">
        <f t="shared" si="11"/>
        <v>1081869.69</v>
      </c>
      <c r="O298" s="5">
        <f t="shared" si="12"/>
        <v>432747.87599999999</v>
      </c>
      <c r="P298" s="51" t="s">
        <v>2609</v>
      </c>
      <c r="Q298" s="8" t="s">
        <v>2820</v>
      </c>
      <c r="R298" s="61"/>
    </row>
    <row r="299" spans="1:18" s="44" customFormat="1" ht="30" outlineLevel="2" x14ac:dyDescent="0.25">
      <c r="A299" s="3" t="s">
        <v>24</v>
      </c>
      <c r="B299" s="2" t="s">
        <v>1794</v>
      </c>
      <c r="C299" s="12" t="s">
        <v>39</v>
      </c>
      <c r="D299" s="2" t="s">
        <v>1798</v>
      </c>
      <c r="E299" s="3" t="s">
        <v>1949</v>
      </c>
      <c r="F299" s="2" t="s">
        <v>772</v>
      </c>
      <c r="G299" s="2" t="s">
        <v>1799</v>
      </c>
      <c r="H299" s="3" t="s">
        <v>166</v>
      </c>
      <c r="I299" s="5">
        <v>4543433.87</v>
      </c>
      <c r="J299" s="5">
        <v>3634747.1</v>
      </c>
      <c r="K299" s="12">
        <v>80</v>
      </c>
      <c r="L299" s="45">
        <f t="shared" si="13"/>
        <v>1817373.5480000002</v>
      </c>
      <c r="M299" s="5"/>
      <c r="N299" s="5">
        <f t="shared" si="11"/>
        <v>3634747.1</v>
      </c>
      <c r="O299" s="5">
        <f t="shared" si="12"/>
        <v>1817373.5480000002</v>
      </c>
      <c r="P299" s="51" t="s">
        <v>2489</v>
      </c>
      <c r="Q299" s="8" t="s">
        <v>2820</v>
      </c>
      <c r="R299" s="61"/>
    </row>
    <row r="300" spans="1:18" s="44" customFormat="1" ht="30" outlineLevel="2" x14ac:dyDescent="0.25">
      <c r="A300" s="3" t="s">
        <v>24</v>
      </c>
      <c r="B300" s="2" t="s">
        <v>1794</v>
      </c>
      <c r="C300" s="12" t="s">
        <v>39</v>
      </c>
      <c r="D300" s="2" t="s">
        <v>1798</v>
      </c>
      <c r="E300" s="3" t="s">
        <v>1949</v>
      </c>
      <c r="F300" s="2" t="s">
        <v>567</v>
      </c>
      <c r="G300" s="2" t="s">
        <v>1799</v>
      </c>
      <c r="H300" s="3" t="s">
        <v>166</v>
      </c>
      <c r="I300" s="5">
        <v>3831534.72</v>
      </c>
      <c r="J300" s="5">
        <v>3065227.78</v>
      </c>
      <c r="K300" s="12">
        <v>80</v>
      </c>
      <c r="L300" s="45">
        <f t="shared" si="13"/>
        <v>1532613.8880000003</v>
      </c>
      <c r="M300" s="5"/>
      <c r="N300" s="5">
        <f t="shared" si="11"/>
        <v>3065227.78</v>
      </c>
      <c r="O300" s="5">
        <f t="shared" si="12"/>
        <v>1532613.8880000003</v>
      </c>
      <c r="P300" s="51" t="s">
        <v>2609</v>
      </c>
      <c r="Q300" s="8" t="s">
        <v>2820</v>
      </c>
      <c r="R300" s="61"/>
    </row>
    <row r="301" spans="1:18" ht="30" outlineLevel="2" x14ac:dyDescent="0.2">
      <c r="A301" s="3" t="s">
        <v>24</v>
      </c>
      <c r="B301" s="2" t="s">
        <v>1794</v>
      </c>
      <c r="C301" s="12" t="s">
        <v>39</v>
      </c>
      <c r="D301" s="2" t="s">
        <v>1800</v>
      </c>
      <c r="E301" s="6" t="s">
        <v>1949</v>
      </c>
      <c r="F301" s="2" t="s">
        <v>1801</v>
      </c>
      <c r="G301" s="2" t="s">
        <v>776</v>
      </c>
      <c r="H301" s="3" t="s">
        <v>166</v>
      </c>
      <c r="I301" s="5">
        <v>41471068.270000003</v>
      </c>
      <c r="J301" s="5">
        <v>33176854.620000001</v>
      </c>
      <c r="K301" s="12">
        <v>80</v>
      </c>
      <c r="L301" s="45">
        <f t="shared" si="13"/>
        <v>16588427.308000002</v>
      </c>
      <c r="M301" s="5"/>
      <c r="N301" s="5">
        <f t="shared" si="11"/>
        <v>33176854.620000001</v>
      </c>
      <c r="O301" s="5">
        <f t="shared" si="12"/>
        <v>16588427.308000002</v>
      </c>
      <c r="P301" s="51" t="s">
        <v>2489</v>
      </c>
      <c r="Q301" s="8" t="s">
        <v>2820</v>
      </c>
    </row>
    <row r="302" spans="1:18" ht="30" outlineLevel="2" x14ac:dyDescent="0.2">
      <c r="A302" s="3" t="s">
        <v>24</v>
      </c>
      <c r="B302" s="2" t="s">
        <v>1794</v>
      </c>
      <c r="C302" s="12" t="s">
        <v>39</v>
      </c>
      <c r="D302" s="2" t="s">
        <v>1800</v>
      </c>
      <c r="E302" s="6" t="s">
        <v>1949</v>
      </c>
      <c r="F302" s="2" t="s">
        <v>167</v>
      </c>
      <c r="G302" s="2" t="s">
        <v>776</v>
      </c>
      <c r="H302" s="3" t="s">
        <v>166</v>
      </c>
      <c r="I302" s="5">
        <v>34979091.840000004</v>
      </c>
      <c r="J302" s="5">
        <v>34979091.840000004</v>
      </c>
      <c r="K302" s="12">
        <v>100</v>
      </c>
      <c r="L302" s="45">
        <f t="shared" si="13"/>
        <v>13991636.736000001</v>
      </c>
      <c r="M302" s="5"/>
      <c r="N302" s="5">
        <f t="shared" si="11"/>
        <v>34979091.840000004</v>
      </c>
      <c r="O302" s="5">
        <f t="shared" si="12"/>
        <v>13991636.736000001</v>
      </c>
      <c r="P302" s="51" t="s">
        <v>2489</v>
      </c>
      <c r="Q302" s="8" t="s">
        <v>2820</v>
      </c>
    </row>
    <row r="303" spans="1:18" s="44" customFormat="1" ht="45" outlineLevel="2" x14ac:dyDescent="0.25">
      <c r="A303" s="3" t="s">
        <v>24</v>
      </c>
      <c r="B303" s="2" t="s">
        <v>2831</v>
      </c>
      <c r="C303" s="12">
        <v>426</v>
      </c>
      <c r="D303" s="2" t="s">
        <v>2832</v>
      </c>
      <c r="E303" s="3" t="s">
        <v>2082</v>
      </c>
      <c r="F303" s="2" t="s">
        <v>2833</v>
      </c>
      <c r="G303" s="2" t="s">
        <v>2834</v>
      </c>
      <c r="H303" s="3" t="s">
        <v>166</v>
      </c>
      <c r="I303" s="5">
        <v>324065</v>
      </c>
      <c r="J303" s="5">
        <v>324065</v>
      </c>
      <c r="K303" s="12"/>
      <c r="L303" s="45">
        <v>324065</v>
      </c>
      <c r="M303" s="5"/>
      <c r="N303" s="5">
        <f t="shared" si="11"/>
        <v>324065</v>
      </c>
      <c r="O303" s="5">
        <f t="shared" si="12"/>
        <v>324065</v>
      </c>
      <c r="P303" s="51" t="s">
        <v>2835</v>
      </c>
      <c r="Q303" s="8" t="s">
        <v>2836</v>
      </c>
      <c r="R303" s="61"/>
    </row>
    <row r="304" spans="1:18" s="44" customFormat="1" ht="30" outlineLevel="2" x14ac:dyDescent="0.25">
      <c r="A304" s="3" t="s">
        <v>24</v>
      </c>
      <c r="B304" s="2" t="s">
        <v>1806</v>
      </c>
      <c r="C304" s="12" t="s">
        <v>39</v>
      </c>
      <c r="D304" s="2" t="s">
        <v>1809</v>
      </c>
      <c r="E304" s="3" t="s">
        <v>1949</v>
      </c>
      <c r="F304" s="2" t="s">
        <v>165</v>
      </c>
      <c r="G304" s="2" t="s">
        <v>1807</v>
      </c>
      <c r="H304" s="3" t="s">
        <v>166</v>
      </c>
      <c r="I304" s="5">
        <v>732960</v>
      </c>
      <c r="J304" s="5">
        <v>732960</v>
      </c>
      <c r="K304" s="12">
        <v>100</v>
      </c>
      <c r="L304" s="45">
        <f t="shared" si="13"/>
        <v>293184</v>
      </c>
      <c r="M304" s="5"/>
      <c r="N304" s="5">
        <f t="shared" si="11"/>
        <v>732960</v>
      </c>
      <c r="O304" s="5">
        <f>L304-M304</f>
        <v>293184</v>
      </c>
      <c r="P304" s="51"/>
      <c r="Q304" s="8" t="s">
        <v>2826</v>
      </c>
      <c r="R304" s="61"/>
    </row>
    <row r="305" spans="1:18" s="44" customFormat="1" outlineLevel="1" x14ac:dyDescent="0.25">
      <c r="A305" s="145"/>
      <c r="B305" s="147"/>
      <c r="C305" s="154" t="s">
        <v>1946</v>
      </c>
      <c r="D305" s="2"/>
      <c r="E305" s="145"/>
      <c r="F305" s="2"/>
      <c r="G305" s="147"/>
      <c r="H305" s="3"/>
      <c r="I305" s="27">
        <f>SUBTOTAL(9,I213:I303)</f>
        <v>569982925.27999997</v>
      </c>
      <c r="J305" s="27">
        <f>SUBTOTAL(9,J213:J304)</f>
        <v>521634583.22000003</v>
      </c>
      <c r="K305" s="27">
        <f>SUBTOTAL(9,K213:K303)</f>
        <v>8501.7999999999993</v>
      </c>
      <c r="L305" s="148">
        <f>SUBTOTAL(9,L213:L304)</f>
        <v>228927248.37199998</v>
      </c>
      <c r="M305" s="148">
        <f>SUBTOTAL(9,M213:M304)</f>
        <v>744092.1</v>
      </c>
      <c r="N305" s="27">
        <f>SUBTOTAL(9,N213:N304)</f>
        <v>520890491.12</v>
      </c>
      <c r="O305" s="148">
        <f>SUBTOTAL(9,O213:O304)</f>
        <v>228183156.27199996</v>
      </c>
      <c r="P305" s="48"/>
      <c r="Q305" s="16"/>
      <c r="R305" s="61"/>
    </row>
    <row r="306" spans="1:18" s="44" customFormat="1" ht="60" outlineLevel="2" x14ac:dyDescent="0.25">
      <c r="A306" s="3" t="s">
        <v>24</v>
      </c>
      <c r="B306" s="2" t="s">
        <v>409</v>
      </c>
      <c r="C306" s="12" t="s">
        <v>14</v>
      </c>
      <c r="D306" s="2" t="s">
        <v>412</v>
      </c>
      <c r="E306" s="3" t="s">
        <v>29</v>
      </c>
      <c r="F306" s="2" t="s">
        <v>411</v>
      </c>
      <c r="G306" s="2" t="s">
        <v>18</v>
      </c>
      <c r="H306" s="3" t="s">
        <v>78</v>
      </c>
      <c r="I306" s="5">
        <v>3149235.54</v>
      </c>
      <c r="J306" s="5">
        <v>3149235.54</v>
      </c>
      <c r="K306" s="12">
        <v>100</v>
      </c>
      <c r="L306" s="45">
        <f t="shared" ref="L306:L341" si="14">I306*40%</f>
        <v>1259694.216</v>
      </c>
      <c r="M306" s="5"/>
      <c r="N306" s="5">
        <v>3149235.54</v>
      </c>
      <c r="O306" s="5">
        <f t="shared" ref="O306:O341" si="15">L306-M306</f>
        <v>1259694.216</v>
      </c>
      <c r="P306" s="51"/>
      <c r="Q306" s="8" t="s">
        <v>2701</v>
      </c>
      <c r="R306" s="61"/>
    </row>
    <row r="307" spans="1:18" s="44" customFormat="1" ht="45" outlineLevel="2" x14ac:dyDescent="0.25">
      <c r="A307" s="3" t="s">
        <v>24</v>
      </c>
      <c r="B307" s="2" t="s">
        <v>1129</v>
      </c>
      <c r="C307" s="12" t="s">
        <v>14</v>
      </c>
      <c r="D307" s="2" t="s">
        <v>1131</v>
      </c>
      <c r="E307" s="3" t="s">
        <v>29</v>
      </c>
      <c r="F307" s="2" t="s">
        <v>1132</v>
      </c>
      <c r="G307" s="2" t="s">
        <v>1130</v>
      </c>
      <c r="H307" s="3" t="s">
        <v>166</v>
      </c>
      <c r="I307" s="5">
        <v>172215</v>
      </c>
      <c r="J307" s="5">
        <v>172215</v>
      </c>
      <c r="K307" s="12">
        <v>100</v>
      </c>
      <c r="L307" s="45">
        <f t="shared" si="14"/>
        <v>68886</v>
      </c>
      <c r="M307" s="5"/>
      <c r="N307" s="5">
        <v>172215</v>
      </c>
      <c r="O307" s="5">
        <f t="shared" si="15"/>
        <v>68886</v>
      </c>
      <c r="P307" s="51"/>
      <c r="Q307" s="8" t="s">
        <v>2702</v>
      </c>
      <c r="R307" s="61"/>
    </row>
    <row r="308" spans="1:18" s="44" customFormat="1" ht="75" outlineLevel="2" x14ac:dyDescent="0.25">
      <c r="A308" s="3" t="s">
        <v>24</v>
      </c>
      <c r="B308" s="2" t="s">
        <v>25</v>
      </c>
      <c r="C308" s="12" t="s">
        <v>14</v>
      </c>
      <c r="D308" s="2" t="s">
        <v>32</v>
      </c>
      <c r="E308" s="3" t="s">
        <v>1949</v>
      </c>
      <c r="F308" s="2" t="s">
        <v>33</v>
      </c>
      <c r="G308" s="2" t="s">
        <v>18</v>
      </c>
      <c r="H308" s="3" t="s">
        <v>34</v>
      </c>
      <c r="I308" s="5">
        <v>7613217.5700000003</v>
      </c>
      <c r="J308" s="5">
        <v>7613217.5700000003</v>
      </c>
      <c r="K308" s="12">
        <v>100</v>
      </c>
      <c r="L308" s="45">
        <f t="shared" si="14"/>
        <v>3045287.0280000004</v>
      </c>
      <c r="M308" s="5"/>
      <c r="N308" s="5">
        <v>7613217.5700000003</v>
      </c>
      <c r="O308" s="5">
        <f t="shared" si="15"/>
        <v>3045287.0280000004</v>
      </c>
      <c r="P308" s="51"/>
      <c r="Q308" s="8" t="s">
        <v>2703</v>
      </c>
      <c r="R308" s="61"/>
    </row>
    <row r="309" spans="1:18" s="44" customFormat="1" ht="60" outlineLevel="2" x14ac:dyDescent="0.25">
      <c r="A309" s="3" t="s">
        <v>24</v>
      </c>
      <c r="B309" s="2" t="s">
        <v>1011</v>
      </c>
      <c r="C309" s="12" t="s">
        <v>14</v>
      </c>
      <c r="D309" s="2" t="s">
        <v>1012</v>
      </c>
      <c r="E309" s="3" t="s">
        <v>1949</v>
      </c>
      <c r="F309" s="2" t="s">
        <v>1013</v>
      </c>
      <c r="G309" s="2" t="s">
        <v>18</v>
      </c>
      <c r="H309" s="3" t="s">
        <v>34</v>
      </c>
      <c r="I309" s="5">
        <v>17661685.699999999</v>
      </c>
      <c r="J309" s="5">
        <v>14129348.560000001</v>
      </c>
      <c r="K309" s="12">
        <v>80</v>
      </c>
      <c r="L309" s="45">
        <f t="shared" si="14"/>
        <v>7064674.2800000003</v>
      </c>
      <c r="M309" s="5"/>
      <c r="N309" s="5">
        <v>14129348.560000001</v>
      </c>
      <c r="O309" s="5">
        <f t="shared" si="15"/>
        <v>7064674.2800000003</v>
      </c>
      <c r="P309" s="51"/>
      <c r="Q309" s="8" t="s">
        <v>2704</v>
      </c>
      <c r="R309" s="61"/>
    </row>
    <row r="310" spans="1:18" s="53" customFormat="1" ht="45" outlineLevel="2" x14ac:dyDescent="0.25">
      <c r="A310" s="3" t="s">
        <v>24</v>
      </c>
      <c r="B310" s="2" t="s">
        <v>1109</v>
      </c>
      <c r="C310" s="12" t="s">
        <v>14</v>
      </c>
      <c r="D310" s="2" t="s">
        <v>1110</v>
      </c>
      <c r="E310" s="3" t="s">
        <v>1949</v>
      </c>
      <c r="F310" s="2" t="s">
        <v>1111</v>
      </c>
      <c r="G310" s="2" t="s">
        <v>18</v>
      </c>
      <c r="H310" s="3" t="s">
        <v>226</v>
      </c>
      <c r="I310" s="5">
        <v>83328964.200000003</v>
      </c>
      <c r="J310" s="5">
        <v>83328964.200000003</v>
      </c>
      <c r="K310" s="12">
        <v>100</v>
      </c>
      <c r="L310" s="45">
        <f t="shared" si="14"/>
        <v>33331585.680000003</v>
      </c>
      <c r="M310" s="5"/>
      <c r="N310" s="5">
        <v>83328964.200000003</v>
      </c>
      <c r="O310" s="5">
        <f t="shared" si="15"/>
        <v>33331585.680000003</v>
      </c>
      <c r="P310" s="51"/>
      <c r="Q310" s="8" t="s">
        <v>2705</v>
      </c>
      <c r="R310" s="144"/>
    </row>
    <row r="311" spans="1:18" s="53" customFormat="1" ht="60" outlineLevel="2" x14ac:dyDescent="0.25">
      <c r="A311" s="3" t="s">
        <v>24</v>
      </c>
      <c r="B311" s="2" t="s">
        <v>1280</v>
      </c>
      <c r="C311" s="12" t="s">
        <v>14</v>
      </c>
      <c r="D311" s="2" t="s">
        <v>1281</v>
      </c>
      <c r="E311" s="3" t="s">
        <v>1949</v>
      </c>
      <c r="F311" s="2" t="s">
        <v>31</v>
      </c>
      <c r="G311" s="2" t="s">
        <v>18</v>
      </c>
      <c r="H311" s="3" t="s">
        <v>226</v>
      </c>
      <c r="I311" s="5">
        <v>45840471.600000001</v>
      </c>
      <c r="J311" s="5">
        <v>45840471.600000001</v>
      </c>
      <c r="K311" s="12">
        <v>100</v>
      </c>
      <c r="L311" s="45">
        <f t="shared" si="14"/>
        <v>18336188.640000001</v>
      </c>
      <c r="M311" s="5"/>
      <c r="N311" s="5">
        <v>45840471.600000001</v>
      </c>
      <c r="O311" s="5">
        <f t="shared" si="15"/>
        <v>18336188.640000001</v>
      </c>
      <c r="P311" s="51"/>
      <c r="Q311" s="8" t="s">
        <v>2687</v>
      </c>
      <c r="R311" s="144"/>
    </row>
    <row r="312" spans="1:18" s="44" customFormat="1" ht="60" outlineLevel="2" x14ac:dyDescent="0.25">
      <c r="A312" s="3" t="s">
        <v>24</v>
      </c>
      <c r="B312" s="2" t="s">
        <v>1315</v>
      </c>
      <c r="C312" s="12" t="s">
        <v>14</v>
      </c>
      <c r="D312" s="2" t="s">
        <v>1483</v>
      </c>
      <c r="E312" s="3" t="s">
        <v>1949</v>
      </c>
      <c r="F312" s="2" t="s">
        <v>1132</v>
      </c>
      <c r="G312" s="2" t="s">
        <v>1484</v>
      </c>
      <c r="H312" s="3" t="s">
        <v>166</v>
      </c>
      <c r="I312" s="5">
        <v>49533.120000000003</v>
      </c>
      <c r="J312" s="5">
        <v>49533.120000000003</v>
      </c>
      <c r="K312" s="12">
        <v>100</v>
      </c>
      <c r="L312" s="45">
        <f t="shared" si="14"/>
        <v>19813.248000000003</v>
      </c>
      <c r="M312" s="5"/>
      <c r="N312" s="5">
        <v>49533.120000000003</v>
      </c>
      <c r="O312" s="5">
        <f t="shared" si="15"/>
        <v>19813.248000000003</v>
      </c>
      <c r="P312" s="51"/>
      <c r="Q312" s="8" t="s">
        <v>2765</v>
      </c>
      <c r="R312" s="61"/>
    </row>
    <row r="313" spans="1:18" s="44" customFormat="1" ht="90" outlineLevel="2" x14ac:dyDescent="0.25">
      <c r="A313" s="3" t="s">
        <v>24</v>
      </c>
      <c r="B313" s="2" t="s">
        <v>1315</v>
      </c>
      <c r="C313" s="12" t="s">
        <v>14</v>
      </c>
      <c r="D313" s="2" t="s">
        <v>1485</v>
      </c>
      <c r="E313" s="3" t="s">
        <v>1949</v>
      </c>
      <c r="F313" s="2" t="s">
        <v>1132</v>
      </c>
      <c r="G313" s="2" t="s">
        <v>62</v>
      </c>
      <c r="H313" s="3" t="s">
        <v>166</v>
      </c>
      <c r="I313" s="5">
        <v>344284.8</v>
      </c>
      <c r="J313" s="5">
        <v>344284.8</v>
      </c>
      <c r="K313" s="12">
        <v>100</v>
      </c>
      <c r="L313" s="45">
        <f t="shared" si="14"/>
        <v>137713.92000000001</v>
      </c>
      <c r="M313" s="5"/>
      <c r="N313" s="5">
        <v>344284.8</v>
      </c>
      <c r="O313" s="5">
        <f t="shared" si="15"/>
        <v>137713.92000000001</v>
      </c>
      <c r="P313" s="51"/>
      <c r="Q313" s="8" t="s">
        <v>2766</v>
      </c>
      <c r="R313" s="61"/>
    </row>
    <row r="314" spans="1:18" s="44" customFormat="1" ht="60" outlineLevel="2" x14ac:dyDescent="0.25">
      <c r="A314" s="3" t="s">
        <v>24</v>
      </c>
      <c r="B314" s="2" t="s">
        <v>1315</v>
      </c>
      <c r="C314" s="12" t="s">
        <v>14</v>
      </c>
      <c r="D314" s="2" t="s">
        <v>1486</v>
      </c>
      <c r="E314" s="3" t="s">
        <v>1949</v>
      </c>
      <c r="F314" s="2" t="s">
        <v>225</v>
      </c>
      <c r="G314" s="2" t="s">
        <v>60</v>
      </c>
      <c r="H314" s="3" t="s">
        <v>226</v>
      </c>
      <c r="I314" s="5">
        <v>6856954.0800000001</v>
      </c>
      <c r="J314" s="5">
        <v>5485563.2599999998</v>
      </c>
      <c r="K314" s="12">
        <v>80</v>
      </c>
      <c r="L314" s="45">
        <f t="shared" si="14"/>
        <v>2742781.6320000002</v>
      </c>
      <c r="M314" s="5"/>
      <c r="N314" s="5">
        <v>5485563.2599999998</v>
      </c>
      <c r="O314" s="5">
        <f t="shared" si="15"/>
        <v>2742781.6320000002</v>
      </c>
      <c r="P314" s="51"/>
      <c r="Q314" s="8" t="s">
        <v>2748</v>
      </c>
      <c r="R314" s="61"/>
    </row>
    <row r="315" spans="1:18" s="44" customFormat="1" ht="90" outlineLevel="2" x14ac:dyDescent="0.25">
      <c r="A315" s="3" t="s">
        <v>24</v>
      </c>
      <c r="B315" s="2" t="s">
        <v>1315</v>
      </c>
      <c r="C315" s="12" t="s">
        <v>14</v>
      </c>
      <c r="D315" s="2" t="s">
        <v>1487</v>
      </c>
      <c r="E315" s="3" t="s">
        <v>1949</v>
      </c>
      <c r="F315" s="2" t="s">
        <v>1488</v>
      </c>
      <c r="G315" s="2" t="s">
        <v>1489</v>
      </c>
      <c r="H315" s="3" t="s">
        <v>166</v>
      </c>
      <c r="I315" s="5">
        <v>199825.92000000001</v>
      </c>
      <c r="J315" s="5">
        <v>159860.74</v>
      </c>
      <c r="K315" s="12">
        <v>80</v>
      </c>
      <c r="L315" s="45">
        <f t="shared" si="14"/>
        <v>79930.368000000017</v>
      </c>
      <c r="M315" s="5"/>
      <c r="N315" s="5">
        <v>159860.74</v>
      </c>
      <c r="O315" s="5">
        <f t="shared" si="15"/>
        <v>79930.368000000017</v>
      </c>
      <c r="P315" s="51"/>
      <c r="Q315" s="8" t="s">
        <v>2766</v>
      </c>
      <c r="R315" s="61"/>
    </row>
    <row r="316" spans="1:18" s="44" customFormat="1" ht="45" outlineLevel="2" x14ac:dyDescent="0.25">
      <c r="A316" s="3" t="s">
        <v>24</v>
      </c>
      <c r="B316" s="2" t="s">
        <v>1315</v>
      </c>
      <c r="C316" s="12" t="s">
        <v>14</v>
      </c>
      <c r="D316" s="2" t="s">
        <v>1490</v>
      </c>
      <c r="E316" s="3" t="s">
        <v>1949</v>
      </c>
      <c r="F316" s="2" t="s">
        <v>1488</v>
      </c>
      <c r="G316" s="2" t="s">
        <v>1491</v>
      </c>
      <c r="H316" s="3" t="s">
        <v>166</v>
      </c>
      <c r="I316" s="5">
        <v>1108767.74</v>
      </c>
      <c r="J316" s="5">
        <v>887014.19</v>
      </c>
      <c r="K316" s="12">
        <v>80</v>
      </c>
      <c r="L316" s="45">
        <f t="shared" si="14"/>
        <v>443507.09600000002</v>
      </c>
      <c r="M316" s="5"/>
      <c r="N316" s="5">
        <v>887014.19</v>
      </c>
      <c r="O316" s="5">
        <f t="shared" si="15"/>
        <v>443507.09600000002</v>
      </c>
      <c r="P316" s="51"/>
      <c r="Q316" s="8" t="s">
        <v>2767</v>
      </c>
      <c r="R316" s="61"/>
    </row>
    <row r="317" spans="1:18" s="44" customFormat="1" ht="45" outlineLevel="2" x14ac:dyDescent="0.25">
      <c r="A317" s="3" t="s">
        <v>24</v>
      </c>
      <c r="B317" s="2" t="s">
        <v>1315</v>
      </c>
      <c r="C317" s="12" t="s">
        <v>14</v>
      </c>
      <c r="D317" s="2" t="s">
        <v>1492</v>
      </c>
      <c r="E317" s="3" t="s">
        <v>1949</v>
      </c>
      <c r="F317" s="2" t="s">
        <v>1488</v>
      </c>
      <c r="G317" s="2" t="s">
        <v>1493</v>
      </c>
      <c r="H317" s="3" t="s">
        <v>166</v>
      </c>
      <c r="I317" s="5">
        <v>467812.8</v>
      </c>
      <c r="J317" s="5">
        <v>374250.23999999999</v>
      </c>
      <c r="K317" s="12">
        <v>80</v>
      </c>
      <c r="L317" s="45">
        <f t="shared" si="14"/>
        <v>187125.12</v>
      </c>
      <c r="M317" s="5"/>
      <c r="N317" s="5">
        <v>374250.23999999999</v>
      </c>
      <c r="O317" s="5">
        <f t="shared" si="15"/>
        <v>187125.12</v>
      </c>
      <c r="P317" s="51"/>
      <c r="Q317" s="8" t="s">
        <v>2767</v>
      </c>
      <c r="R317" s="61"/>
    </row>
    <row r="318" spans="1:18" s="44" customFormat="1" ht="150" outlineLevel="2" x14ac:dyDescent="0.25">
      <c r="A318" s="3" t="s">
        <v>24</v>
      </c>
      <c r="B318" s="2" t="s">
        <v>1315</v>
      </c>
      <c r="C318" s="12" t="s">
        <v>14</v>
      </c>
      <c r="D318" s="2" t="s">
        <v>1494</v>
      </c>
      <c r="E318" s="3" t="s">
        <v>1949</v>
      </c>
      <c r="F318" s="2" t="s">
        <v>1488</v>
      </c>
      <c r="G318" s="2" t="s">
        <v>1495</v>
      </c>
      <c r="H318" s="3" t="s">
        <v>166</v>
      </c>
      <c r="I318" s="5">
        <v>2186993.09</v>
      </c>
      <c r="J318" s="5">
        <v>1749594.47</v>
      </c>
      <c r="K318" s="12">
        <v>80</v>
      </c>
      <c r="L318" s="45">
        <f t="shared" si="14"/>
        <v>874797.23600000003</v>
      </c>
      <c r="M318" s="5"/>
      <c r="N318" s="5">
        <v>1749594.47</v>
      </c>
      <c r="O318" s="5">
        <f t="shared" si="15"/>
        <v>874797.23600000003</v>
      </c>
      <c r="P318" s="51"/>
      <c r="Q318" s="8" t="s">
        <v>2750</v>
      </c>
      <c r="R318" s="61"/>
    </row>
    <row r="319" spans="1:18" s="44" customFormat="1" ht="90" outlineLevel="2" x14ac:dyDescent="0.25">
      <c r="A319" s="3" t="s">
        <v>24</v>
      </c>
      <c r="B319" s="2" t="s">
        <v>1315</v>
      </c>
      <c r="C319" s="12" t="s">
        <v>14</v>
      </c>
      <c r="D319" s="2" t="s">
        <v>1496</v>
      </c>
      <c r="E319" s="3" t="s">
        <v>1949</v>
      </c>
      <c r="F319" s="2" t="s">
        <v>1488</v>
      </c>
      <c r="G319" s="2" t="s">
        <v>1497</v>
      </c>
      <c r="H319" s="3" t="s">
        <v>166</v>
      </c>
      <c r="I319" s="5">
        <v>1209203.1000000001</v>
      </c>
      <c r="J319" s="5">
        <v>967362.48</v>
      </c>
      <c r="K319" s="12">
        <v>80</v>
      </c>
      <c r="L319" s="45">
        <f t="shared" si="14"/>
        <v>483681.24000000005</v>
      </c>
      <c r="M319" s="5"/>
      <c r="N319" s="5">
        <v>967362.48</v>
      </c>
      <c r="O319" s="5">
        <f t="shared" si="15"/>
        <v>483681.24000000005</v>
      </c>
      <c r="P319" s="51"/>
      <c r="Q319" s="8" t="s">
        <v>2766</v>
      </c>
      <c r="R319" s="61"/>
    </row>
    <row r="320" spans="1:18" s="44" customFormat="1" ht="60" outlineLevel="2" x14ac:dyDescent="0.25">
      <c r="A320" s="3" t="s">
        <v>24</v>
      </c>
      <c r="B320" s="2" t="s">
        <v>1315</v>
      </c>
      <c r="C320" s="12" t="s">
        <v>14</v>
      </c>
      <c r="D320" s="2" t="s">
        <v>1498</v>
      </c>
      <c r="E320" s="3" t="s">
        <v>1949</v>
      </c>
      <c r="F320" s="2" t="s">
        <v>1488</v>
      </c>
      <c r="G320" s="2" t="s">
        <v>1499</v>
      </c>
      <c r="H320" s="3" t="s">
        <v>166</v>
      </c>
      <c r="I320" s="5">
        <v>1405800</v>
      </c>
      <c r="J320" s="5">
        <v>1124640</v>
      </c>
      <c r="K320" s="12">
        <v>80</v>
      </c>
      <c r="L320" s="45">
        <f t="shared" si="14"/>
        <v>562320</v>
      </c>
      <c r="M320" s="5"/>
      <c r="N320" s="5">
        <v>1124640</v>
      </c>
      <c r="O320" s="5">
        <f t="shared" si="15"/>
        <v>562320</v>
      </c>
      <c r="P320" s="51"/>
      <c r="Q320" s="8" t="s">
        <v>2692</v>
      </c>
      <c r="R320" s="61"/>
    </row>
    <row r="321" spans="1:18" s="44" customFormat="1" ht="60" outlineLevel="2" x14ac:dyDescent="0.25">
      <c r="A321" s="3" t="s">
        <v>24</v>
      </c>
      <c r="B321" s="2" t="s">
        <v>1315</v>
      </c>
      <c r="C321" s="12" t="s">
        <v>14</v>
      </c>
      <c r="D321" s="2" t="s">
        <v>1570</v>
      </c>
      <c r="E321" s="3" t="s">
        <v>1949</v>
      </c>
      <c r="F321" s="2" t="s">
        <v>1488</v>
      </c>
      <c r="G321" s="2" t="s">
        <v>1560</v>
      </c>
      <c r="H321" s="3" t="s">
        <v>166</v>
      </c>
      <c r="I321" s="5">
        <v>1196867.1499999999</v>
      </c>
      <c r="J321" s="5">
        <v>957493.72</v>
      </c>
      <c r="K321" s="12">
        <v>80</v>
      </c>
      <c r="L321" s="45">
        <f t="shared" si="14"/>
        <v>478746.86</v>
      </c>
      <c r="M321" s="5"/>
      <c r="N321" s="5">
        <v>957493.72</v>
      </c>
      <c r="O321" s="5">
        <f t="shared" si="15"/>
        <v>478746.86</v>
      </c>
      <c r="P321" s="51"/>
      <c r="Q321" s="8" t="s">
        <v>2692</v>
      </c>
      <c r="R321" s="61"/>
    </row>
    <row r="322" spans="1:18" s="44" customFormat="1" ht="60" outlineLevel="2" x14ac:dyDescent="0.25">
      <c r="A322" s="3" t="s">
        <v>24</v>
      </c>
      <c r="B322" s="2" t="s">
        <v>1315</v>
      </c>
      <c r="C322" s="12" t="s">
        <v>14</v>
      </c>
      <c r="D322" s="2" t="s">
        <v>1571</v>
      </c>
      <c r="E322" s="3" t="s">
        <v>1949</v>
      </c>
      <c r="F322" s="2" t="s">
        <v>411</v>
      </c>
      <c r="G322" s="2" t="s">
        <v>1098</v>
      </c>
      <c r="H322" s="3" t="s">
        <v>166</v>
      </c>
      <c r="I322" s="5">
        <v>87696</v>
      </c>
      <c r="J322" s="5">
        <v>87696</v>
      </c>
      <c r="K322" s="12">
        <v>100</v>
      </c>
      <c r="L322" s="45">
        <f t="shared" si="14"/>
        <v>35078.400000000001</v>
      </c>
      <c r="M322" s="5"/>
      <c r="N322" s="5">
        <v>87696</v>
      </c>
      <c r="O322" s="5">
        <f t="shared" si="15"/>
        <v>35078.400000000001</v>
      </c>
      <c r="P322" s="51"/>
      <c r="Q322" s="8" t="s">
        <v>1972</v>
      </c>
      <c r="R322" s="61"/>
    </row>
    <row r="323" spans="1:18" s="44" customFormat="1" ht="45" outlineLevel="2" x14ac:dyDescent="0.25">
      <c r="A323" s="3" t="s">
        <v>24</v>
      </c>
      <c r="B323" s="2" t="s">
        <v>1315</v>
      </c>
      <c r="C323" s="12" t="s">
        <v>14</v>
      </c>
      <c r="D323" s="2" t="s">
        <v>1572</v>
      </c>
      <c r="E323" s="3" t="s">
        <v>1949</v>
      </c>
      <c r="F323" s="2" t="s">
        <v>1488</v>
      </c>
      <c r="G323" s="2" t="s">
        <v>1573</v>
      </c>
      <c r="H323" s="3" t="s">
        <v>166</v>
      </c>
      <c r="I323" s="5">
        <v>2588327.04</v>
      </c>
      <c r="J323" s="5">
        <v>2070661.63</v>
      </c>
      <c r="K323" s="12">
        <v>80</v>
      </c>
      <c r="L323" s="45">
        <f t="shared" si="14"/>
        <v>1035330.8160000001</v>
      </c>
      <c r="M323" s="5"/>
      <c r="N323" s="5">
        <v>2070661.63</v>
      </c>
      <c r="O323" s="5">
        <f t="shared" si="15"/>
        <v>1035330.8160000001</v>
      </c>
      <c r="P323" s="51"/>
      <c r="Q323" s="8" t="s">
        <v>2706</v>
      </c>
      <c r="R323" s="61"/>
    </row>
    <row r="324" spans="1:18" s="44" customFormat="1" ht="60" outlineLevel="2" x14ac:dyDescent="0.25">
      <c r="A324" s="3" t="s">
        <v>24</v>
      </c>
      <c r="B324" s="2" t="s">
        <v>1315</v>
      </c>
      <c r="C324" s="12" t="s">
        <v>14</v>
      </c>
      <c r="D324" s="2" t="s">
        <v>1574</v>
      </c>
      <c r="E324" s="3" t="s">
        <v>1949</v>
      </c>
      <c r="F324" s="2" t="s">
        <v>1132</v>
      </c>
      <c r="G324" s="2" t="s">
        <v>1575</v>
      </c>
      <c r="H324" s="3" t="s">
        <v>166</v>
      </c>
      <c r="I324" s="5">
        <v>128332.51</v>
      </c>
      <c r="J324" s="5">
        <v>128332.51</v>
      </c>
      <c r="K324" s="12">
        <v>100</v>
      </c>
      <c r="L324" s="45">
        <f t="shared" si="14"/>
        <v>51333.004000000001</v>
      </c>
      <c r="M324" s="5"/>
      <c r="N324" s="5">
        <v>128332.51</v>
      </c>
      <c r="O324" s="5">
        <f t="shared" si="15"/>
        <v>51333.004000000001</v>
      </c>
      <c r="P324" s="51"/>
      <c r="Q324" s="8" t="s">
        <v>2768</v>
      </c>
      <c r="R324" s="61"/>
    </row>
    <row r="325" spans="1:18" s="44" customFormat="1" ht="105" outlineLevel="2" x14ac:dyDescent="0.25">
      <c r="A325" s="3" t="s">
        <v>24</v>
      </c>
      <c r="B325" s="2" t="s">
        <v>2688</v>
      </c>
      <c r="C325" s="12" t="s">
        <v>14</v>
      </c>
      <c r="D325" s="2" t="s">
        <v>1577</v>
      </c>
      <c r="E325" s="3" t="s">
        <v>1949</v>
      </c>
      <c r="F325" s="2" t="s">
        <v>1578</v>
      </c>
      <c r="G325" s="2" t="s">
        <v>1576</v>
      </c>
      <c r="H325" s="3" t="s">
        <v>226</v>
      </c>
      <c r="I325" s="5">
        <v>9090871.6799999997</v>
      </c>
      <c r="J325" s="5">
        <v>7272697.3399999999</v>
      </c>
      <c r="K325" s="12">
        <v>80</v>
      </c>
      <c r="L325" s="45">
        <f t="shared" si="14"/>
        <v>3636348.6720000003</v>
      </c>
      <c r="M325" s="5"/>
      <c r="N325" s="5">
        <v>7272697.3399999999</v>
      </c>
      <c r="O325" s="5">
        <f t="shared" si="15"/>
        <v>3636348.6720000003</v>
      </c>
      <c r="P325" s="51"/>
      <c r="Q325" s="8" t="s">
        <v>2689</v>
      </c>
      <c r="R325" s="61"/>
    </row>
    <row r="326" spans="1:18" s="44" customFormat="1" ht="60" outlineLevel="2" x14ac:dyDescent="0.25">
      <c r="A326" s="3" t="s">
        <v>24</v>
      </c>
      <c r="B326" s="2" t="s">
        <v>1315</v>
      </c>
      <c r="C326" s="12" t="s">
        <v>14</v>
      </c>
      <c r="D326" s="2" t="s">
        <v>1579</v>
      </c>
      <c r="E326" s="3" t="s">
        <v>1949</v>
      </c>
      <c r="F326" s="2" t="s">
        <v>1580</v>
      </c>
      <c r="G326" s="2" t="s">
        <v>461</v>
      </c>
      <c r="H326" s="3" t="s">
        <v>166</v>
      </c>
      <c r="I326" s="5">
        <v>117806.57</v>
      </c>
      <c r="J326" s="5">
        <v>117806.57</v>
      </c>
      <c r="K326" s="12">
        <v>100</v>
      </c>
      <c r="L326" s="45">
        <f t="shared" si="14"/>
        <v>47122.628000000004</v>
      </c>
      <c r="M326" s="5"/>
      <c r="N326" s="5">
        <v>117806.57</v>
      </c>
      <c r="O326" s="5">
        <f t="shared" si="15"/>
        <v>47122.628000000004</v>
      </c>
      <c r="P326" s="51"/>
      <c r="Q326" s="8" t="s">
        <v>2749</v>
      </c>
      <c r="R326" s="61"/>
    </row>
    <row r="327" spans="1:18" s="44" customFormat="1" ht="105" outlineLevel="2" x14ac:dyDescent="0.25">
      <c r="A327" s="3" t="s">
        <v>24</v>
      </c>
      <c r="B327" s="2" t="s">
        <v>2694</v>
      </c>
      <c r="C327" s="12" t="s">
        <v>14</v>
      </c>
      <c r="D327" s="2" t="s">
        <v>1581</v>
      </c>
      <c r="E327" s="3" t="s">
        <v>1949</v>
      </c>
      <c r="F327" s="2" t="s">
        <v>1578</v>
      </c>
      <c r="G327" s="2" t="s">
        <v>1582</v>
      </c>
      <c r="H327" s="3" t="s">
        <v>226</v>
      </c>
      <c r="I327" s="5">
        <v>14268358.1</v>
      </c>
      <c r="J327" s="5">
        <v>11414686.48</v>
      </c>
      <c r="K327" s="12">
        <v>80</v>
      </c>
      <c r="L327" s="45">
        <f t="shared" si="14"/>
        <v>5707343.2400000002</v>
      </c>
      <c r="M327" s="5"/>
      <c r="N327" s="5">
        <v>11414686.48</v>
      </c>
      <c r="O327" s="5">
        <f t="shared" si="15"/>
        <v>5707343.2400000002</v>
      </c>
      <c r="P327" s="51"/>
      <c r="Q327" s="8" t="s">
        <v>2689</v>
      </c>
      <c r="R327" s="61"/>
    </row>
    <row r="328" spans="1:18" s="44" customFormat="1" ht="60" outlineLevel="2" x14ac:dyDescent="0.25">
      <c r="A328" s="3" t="s">
        <v>24</v>
      </c>
      <c r="B328" s="2" t="s">
        <v>1315</v>
      </c>
      <c r="C328" s="12" t="s">
        <v>14</v>
      </c>
      <c r="D328" s="2" t="s">
        <v>1586</v>
      </c>
      <c r="E328" s="3" t="s">
        <v>1949</v>
      </c>
      <c r="F328" s="2" t="s">
        <v>1578</v>
      </c>
      <c r="G328" s="2" t="s">
        <v>1558</v>
      </c>
      <c r="H328" s="3" t="s">
        <v>226</v>
      </c>
      <c r="I328" s="5">
        <v>8679196.8900000006</v>
      </c>
      <c r="J328" s="5">
        <v>6943357.5099999998</v>
      </c>
      <c r="K328" s="12">
        <v>80</v>
      </c>
      <c r="L328" s="45">
        <f t="shared" si="14"/>
        <v>3471678.7560000005</v>
      </c>
      <c r="M328" s="5"/>
      <c r="N328" s="5">
        <v>6943357.5099999998</v>
      </c>
      <c r="O328" s="5">
        <f t="shared" si="15"/>
        <v>3471678.7560000005</v>
      </c>
      <c r="P328" s="51"/>
      <c r="Q328" s="8" t="s">
        <v>2692</v>
      </c>
      <c r="R328" s="61"/>
    </row>
    <row r="329" spans="1:18" s="44" customFormat="1" ht="60" outlineLevel="2" x14ac:dyDescent="0.25">
      <c r="A329" s="3" t="s">
        <v>24</v>
      </c>
      <c r="B329" s="2" t="s">
        <v>1315</v>
      </c>
      <c r="C329" s="12" t="s">
        <v>14</v>
      </c>
      <c r="D329" s="2" t="s">
        <v>1587</v>
      </c>
      <c r="E329" s="3" t="s">
        <v>1949</v>
      </c>
      <c r="F329" s="2" t="s">
        <v>1578</v>
      </c>
      <c r="G329" s="2" t="s">
        <v>1588</v>
      </c>
      <c r="H329" s="3" t="s">
        <v>226</v>
      </c>
      <c r="I329" s="5">
        <v>5554881.4699999997</v>
      </c>
      <c r="J329" s="5">
        <v>4443905.18</v>
      </c>
      <c r="K329" s="12">
        <v>80</v>
      </c>
      <c r="L329" s="45">
        <f t="shared" si="14"/>
        <v>2221952.588</v>
      </c>
      <c r="M329" s="5"/>
      <c r="N329" s="5">
        <v>4443905.18</v>
      </c>
      <c r="O329" s="5">
        <f t="shared" si="15"/>
        <v>2221952.588</v>
      </c>
      <c r="P329" s="51"/>
      <c r="Q329" s="8" t="s">
        <v>2692</v>
      </c>
      <c r="R329" s="61"/>
    </row>
    <row r="330" spans="1:18" s="44" customFormat="1" ht="30" outlineLevel="2" x14ac:dyDescent="0.25">
      <c r="A330" s="3" t="s">
        <v>24</v>
      </c>
      <c r="B330" s="2" t="s">
        <v>1315</v>
      </c>
      <c r="C330" s="12" t="s">
        <v>14</v>
      </c>
      <c r="D330" s="2" t="s">
        <v>1589</v>
      </c>
      <c r="E330" s="3" t="s">
        <v>1949</v>
      </c>
      <c r="F330" s="2" t="s">
        <v>1578</v>
      </c>
      <c r="G330" s="2" t="s">
        <v>1532</v>
      </c>
      <c r="H330" s="3" t="s">
        <v>226</v>
      </c>
      <c r="I330" s="5">
        <v>1233930.25</v>
      </c>
      <c r="J330" s="5">
        <v>987144.2</v>
      </c>
      <c r="K330" s="12">
        <v>80</v>
      </c>
      <c r="L330" s="45">
        <f t="shared" si="14"/>
        <v>493572.10000000003</v>
      </c>
      <c r="M330" s="5"/>
      <c r="N330" s="5">
        <v>987144.2</v>
      </c>
      <c r="O330" s="5">
        <f t="shared" si="15"/>
        <v>493572.10000000003</v>
      </c>
      <c r="P330" s="51"/>
      <c r="Q330" s="8" t="s">
        <v>2769</v>
      </c>
      <c r="R330" s="61"/>
    </row>
    <row r="331" spans="1:18" s="44" customFormat="1" ht="90" outlineLevel="2" x14ac:dyDescent="0.25">
      <c r="A331" s="3" t="s">
        <v>24</v>
      </c>
      <c r="B331" s="2" t="s">
        <v>1315</v>
      </c>
      <c r="C331" s="12" t="s">
        <v>14</v>
      </c>
      <c r="D331" s="2" t="s">
        <v>1590</v>
      </c>
      <c r="E331" s="3" t="s">
        <v>1949</v>
      </c>
      <c r="F331" s="2" t="s">
        <v>1591</v>
      </c>
      <c r="G331" s="2" t="s">
        <v>1243</v>
      </c>
      <c r="H331" s="3" t="s">
        <v>166</v>
      </c>
      <c r="I331" s="5">
        <v>164338.13</v>
      </c>
      <c r="J331" s="5">
        <v>131470.5</v>
      </c>
      <c r="K331" s="12">
        <v>80</v>
      </c>
      <c r="L331" s="45">
        <f t="shared" si="14"/>
        <v>65735.252000000008</v>
      </c>
      <c r="M331" s="5"/>
      <c r="N331" s="5">
        <v>131470.5</v>
      </c>
      <c r="O331" s="5">
        <f t="shared" si="15"/>
        <v>65735.252000000008</v>
      </c>
      <c r="P331" s="51"/>
      <c r="Q331" s="8" t="s">
        <v>2766</v>
      </c>
      <c r="R331" s="61"/>
    </row>
    <row r="332" spans="1:18" s="44" customFormat="1" ht="45" outlineLevel="2" x14ac:dyDescent="0.25">
      <c r="A332" s="3" t="s">
        <v>24</v>
      </c>
      <c r="B332" s="2" t="s">
        <v>1315</v>
      </c>
      <c r="C332" s="12" t="s">
        <v>14</v>
      </c>
      <c r="D332" s="2" t="s">
        <v>1592</v>
      </c>
      <c r="E332" s="3" t="s">
        <v>1949</v>
      </c>
      <c r="F332" s="2" t="s">
        <v>1591</v>
      </c>
      <c r="G332" s="2" t="s">
        <v>1517</v>
      </c>
      <c r="H332" s="3" t="s">
        <v>166</v>
      </c>
      <c r="I332" s="5">
        <v>1089728.6399999999</v>
      </c>
      <c r="J332" s="5">
        <v>871782.91</v>
      </c>
      <c r="K332" s="12">
        <v>80</v>
      </c>
      <c r="L332" s="45">
        <f t="shared" si="14"/>
        <v>435891.45600000001</v>
      </c>
      <c r="M332" s="5"/>
      <c r="N332" s="5">
        <v>871782.91</v>
      </c>
      <c r="O332" s="5">
        <f t="shared" si="15"/>
        <v>435891.45600000001</v>
      </c>
      <c r="P332" s="51"/>
      <c r="Q332" s="8" t="s">
        <v>2767</v>
      </c>
      <c r="R332" s="61"/>
    </row>
    <row r="333" spans="1:18" s="44" customFormat="1" ht="60" outlineLevel="2" x14ac:dyDescent="0.25">
      <c r="A333" s="3" t="s">
        <v>24</v>
      </c>
      <c r="B333" s="2" t="s">
        <v>1315</v>
      </c>
      <c r="C333" s="12" t="s">
        <v>14</v>
      </c>
      <c r="D333" s="2" t="s">
        <v>1593</v>
      </c>
      <c r="E333" s="3" t="s">
        <v>1949</v>
      </c>
      <c r="F333" s="2" t="s">
        <v>1580</v>
      </c>
      <c r="G333" s="2" t="s">
        <v>1048</v>
      </c>
      <c r="H333" s="3" t="s">
        <v>166</v>
      </c>
      <c r="I333" s="5">
        <v>55944</v>
      </c>
      <c r="J333" s="5">
        <v>55944</v>
      </c>
      <c r="K333" s="12">
        <v>100</v>
      </c>
      <c r="L333" s="45">
        <f t="shared" si="14"/>
        <v>22377.600000000002</v>
      </c>
      <c r="M333" s="5"/>
      <c r="N333" s="5">
        <v>55944</v>
      </c>
      <c r="O333" s="5">
        <f t="shared" si="15"/>
        <v>22377.600000000002</v>
      </c>
      <c r="P333" s="51"/>
      <c r="Q333" s="8" t="s">
        <v>1972</v>
      </c>
      <c r="R333" s="61"/>
    </row>
    <row r="334" spans="1:18" s="44" customFormat="1" ht="60" outlineLevel="2" x14ac:dyDescent="0.25">
      <c r="A334" s="3" t="s">
        <v>24</v>
      </c>
      <c r="B334" s="2" t="s">
        <v>1315</v>
      </c>
      <c r="C334" s="12" t="s">
        <v>14</v>
      </c>
      <c r="D334" s="2" t="s">
        <v>1594</v>
      </c>
      <c r="E334" s="3" t="s">
        <v>1949</v>
      </c>
      <c r="F334" s="2" t="s">
        <v>1595</v>
      </c>
      <c r="G334" s="2" t="s">
        <v>1229</v>
      </c>
      <c r="H334" s="3" t="s">
        <v>166</v>
      </c>
      <c r="I334" s="5">
        <v>2771340</v>
      </c>
      <c r="J334" s="5">
        <v>2217072</v>
      </c>
      <c r="K334" s="12">
        <v>80</v>
      </c>
      <c r="L334" s="45">
        <f t="shared" si="14"/>
        <v>1108536</v>
      </c>
      <c r="M334" s="5"/>
      <c r="N334" s="5">
        <v>2217072</v>
      </c>
      <c r="O334" s="5">
        <f t="shared" si="15"/>
        <v>1108536</v>
      </c>
      <c r="P334" s="51"/>
      <c r="Q334" s="8" t="s">
        <v>2692</v>
      </c>
      <c r="R334" s="61"/>
    </row>
    <row r="335" spans="1:18" s="44" customFormat="1" ht="17.25" customHeight="1" outlineLevel="2" x14ac:dyDescent="0.25">
      <c r="A335" s="3" t="s">
        <v>24</v>
      </c>
      <c r="B335" s="2" t="s">
        <v>1315</v>
      </c>
      <c r="C335" s="12" t="s">
        <v>14</v>
      </c>
      <c r="D335" s="2" t="s">
        <v>1598</v>
      </c>
      <c r="E335" s="3" t="s">
        <v>1949</v>
      </c>
      <c r="F335" s="2" t="s">
        <v>1132</v>
      </c>
      <c r="G335" s="2" t="s">
        <v>901</v>
      </c>
      <c r="H335" s="3" t="s">
        <v>166</v>
      </c>
      <c r="I335" s="5">
        <v>180754.39</v>
      </c>
      <c r="J335" s="5">
        <v>180754.39</v>
      </c>
      <c r="K335" s="12">
        <v>100</v>
      </c>
      <c r="L335" s="45">
        <f t="shared" si="14"/>
        <v>72301.756000000008</v>
      </c>
      <c r="M335" s="5"/>
      <c r="N335" s="5">
        <v>180754.39</v>
      </c>
      <c r="O335" s="5">
        <f t="shared" si="15"/>
        <v>72301.756000000008</v>
      </c>
      <c r="P335" s="51"/>
      <c r="Q335" s="8" t="s">
        <v>2770</v>
      </c>
      <c r="R335" s="61"/>
    </row>
    <row r="336" spans="1:18" s="44" customFormat="1" ht="45" outlineLevel="2" x14ac:dyDescent="0.25">
      <c r="A336" s="3" t="s">
        <v>24</v>
      </c>
      <c r="B336" s="2" t="s">
        <v>1315</v>
      </c>
      <c r="C336" s="12" t="s">
        <v>14</v>
      </c>
      <c r="D336" s="2" t="s">
        <v>1601</v>
      </c>
      <c r="E336" s="3" t="s">
        <v>1949</v>
      </c>
      <c r="F336" s="2" t="s">
        <v>1488</v>
      </c>
      <c r="G336" s="2" t="s">
        <v>1602</v>
      </c>
      <c r="H336" s="3" t="s">
        <v>166</v>
      </c>
      <c r="I336" s="5">
        <v>12224503</v>
      </c>
      <c r="J336" s="5">
        <v>9779602.4000000004</v>
      </c>
      <c r="K336" s="12">
        <v>80</v>
      </c>
      <c r="L336" s="45">
        <f t="shared" si="14"/>
        <v>4889801.2</v>
      </c>
      <c r="M336" s="5"/>
      <c r="N336" s="5">
        <v>9779602.4000000004</v>
      </c>
      <c r="O336" s="5">
        <f t="shared" si="15"/>
        <v>4889801.2</v>
      </c>
      <c r="P336" s="51"/>
      <c r="Q336" s="8" t="s">
        <v>1969</v>
      </c>
      <c r="R336" s="61"/>
    </row>
    <row r="337" spans="1:18" s="53" customFormat="1" ht="60" outlineLevel="2" x14ac:dyDescent="0.25">
      <c r="A337" s="3" t="s">
        <v>24</v>
      </c>
      <c r="B337" s="2" t="s">
        <v>2693</v>
      </c>
      <c r="C337" s="12" t="s">
        <v>14</v>
      </c>
      <c r="D337" s="2" t="s">
        <v>1618</v>
      </c>
      <c r="E337" s="3" t="s">
        <v>1949</v>
      </c>
      <c r="F337" s="2" t="s">
        <v>1488</v>
      </c>
      <c r="G337" s="2" t="s">
        <v>1585</v>
      </c>
      <c r="H337" s="3" t="s">
        <v>166</v>
      </c>
      <c r="I337" s="5">
        <v>45956584.799999997</v>
      </c>
      <c r="J337" s="5">
        <v>36765267.840000004</v>
      </c>
      <c r="K337" s="12">
        <v>80</v>
      </c>
      <c r="L337" s="45">
        <f t="shared" si="14"/>
        <v>18382633.919999998</v>
      </c>
      <c r="M337" s="5"/>
      <c r="N337" s="5">
        <v>36765267.840000004</v>
      </c>
      <c r="O337" s="5">
        <f t="shared" si="15"/>
        <v>18382633.919999998</v>
      </c>
      <c r="P337" s="51"/>
      <c r="Q337" s="8" t="s">
        <v>1971</v>
      </c>
      <c r="R337" s="144"/>
    </row>
    <row r="338" spans="1:18" s="44" customFormat="1" ht="105" outlineLevel="2" x14ac:dyDescent="0.25">
      <c r="A338" s="3" t="s">
        <v>24</v>
      </c>
      <c r="B338" s="2" t="s">
        <v>1315</v>
      </c>
      <c r="C338" s="12" t="s">
        <v>14</v>
      </c>
      <c r="D338" s="2" t="s">
        <v>1621</v>
      </c>
      <c r="E338" s="3" t="s">
        <v>1949</v>
      </c>
      <c r="F338" s="2" t="s">
        <v>1488</v>
      </c>
      <c r="G338" s="2" t="s">
        <v>1114</v>
      </c>
      <c r="H338" s="3" t="s">
        <v>166</v>
      </c>
      <c r="I338" s="5">
        <v>532042.65</v>
      </c>
      <c r="J338" s="5">
        <v>425634.12</v>
      </c>
      <c r="K338" s="12">
        <v>80</v>
      </c>
      <c r="L338" s="45">
        <f t="shared" si="14"/>
        <v>212817.06000000003</v>
      </c>
      <c r="M338" s="5"/>
      <c r="N338" s="5">
        <v>425634.12</v>
      </c>
      <c r="O338" s="5">
        <f t="shared" si="15"/>
        <v>212817.06000000003</v>
      </c>
      <c r="P338" s="51"/>
      <c r="Q338" s="8" t="s">
        <v>2689</v>
      </c>
      <c r="R338" s="61"/>
    </row>
    <row r="339" spans="1:18" s="44" customFormat="1" ht="120" outlineLevel="2" x14ac:dyDescent="0.25">
      <c r="A339" s="3" t="s">
        <v>24</v>
      </c>
      <c r="B339" s="2" t="s">
        <v>2690</v>
      </c>
      <c r="C339" s="12" t="s">
        <v>14</v>
      </c>
      <c r="D339" s="2" t="s">
        <v>1626</v>
      </c>
      <c r="E339" s="3" t="s">
        <v>1949</v>
      </c>
      <c r="F339" s="2" t="s">
        <v>225</v>
      </c>
      <c r="G339" s="2" t="s">
        <v>1002</v>
      </c>
      <c r="H339" s="3" t="s">
        <v>226</v>
      </c>
      <c r="I339" s="5">
        <v>2580839.36</v>
      </c>
      <c r="J339" s="5">
        <v>2064671.49</v>
      </c>
      <c r="K339" s="12">
        <v>80</v>
      </c>
      <c r="L339" s="45">
        <f t="shared" si="14"/>
        <v>1032335.7439999999</v>
      </c>
      <c r="M339" s="5"/>
      <c r="N339" s="5">
        <v>2064671.49</v>
      </c>
      <c r="O339" s="5">
        <f t="shared" si="15"/>
        <v>1032335.7439999999</v>
      </c>
      <c r="P339" s="51"/>
      <c r="Q339" s="8" t="s">
        <v>2691</v>
      </c>
      <c r="R339" s="61"/>
    </row>
    <row r="340" spans="1:18" s="53" customFormat="1" ht="60" outlineLevel="2" x14ac:dyDescent="0.25">
      <c r="A340" s="3" t="s">
        <v>24</v>
      </c>
      <c r="B340" s="2" t="s">
        <v>1868</v>
      </c>
      <c r="C340" s="12" t="s">
        <v>14</v>
      </c>
      <c r="D340" s="2" t="s">
        <v>1874</v>
      </c>
      <c r="E340" s="3" t="s">
        <v>1949</v>
      </c>
      <c r="F340" s="2" t="s">
        <v>1013</v>
      </c>
      <c r="G340" s="2" t="s">
        <v>18</v>
      </c>
      <c r="H340" s="3" t="s">
        <v>34</v>
      </c>
      <c r="I340" s="5">
        <v>61217465.899999999</v>
      </c>
      <c r="J340" s="5">
        <v>48973972.719999999</v>
      </c>
      <c r="K340" s="12">
        <v>80</v>
      </c>
      <c r="L340" s="45">
        <f t="shared" si="14"/>
        <v>24486986.359999999</v>
      </c>
      <c r="M340" s="5"/>
      <c r="N340" s="5">
        <v>48973972.719999999</v>
      </c>
      <c r="O340" s="5">
        <f t="shared" si="15"/>
        <v>24486986.359999999</v>
      </c>
      <c r="P340" s="51"/>
      <c r="Q340" s="8" t="s">
        <v>2774</v>
      </c>
      <c r="R340" s="144"/>
    </row>
    <row r="341" spans="1:18" s="53" customFormat="1" ht="60" outlineLevel="2" x14ac:dyDescent="0.25">
      <c r="A341" s="3" t="s">
        <v>24</v>
      </c>
      <c r="B341" s="2" t="s">
        <v>1315</v>
      </c>
      <c r="C341" s="12">
        <v>427</v>
      </c>
      <c r="D341" s="2" t="s">
        <v>2699</v>
      </c>
      <c r="E341" s="3" t="s">
        <v>1949</v>
      </c>
      <c r="F341" s="2" t="s">
        <v>1013</v>
      </c>
      <c r="G341" s="2" t="s">
        <v>2700</v>
      </c>
      <c r="H341" s="3" t="s">
        <v>34</v>
      </c>
      <c r="I341" s="5">
        <v>550000</v>
      </c>
      <c r="J341" s="5">
        <v>550000</v>
      </c>
      <c r="K341" s="12"/>
      <c r="L341" s="45">
        <f t="shared" si="14"/>
        <v>220000</v>
      </c>
      <c r="M341" s="5"/>
      <c r="N341" s="5">
        <v>550000</v>
      </c>
      <c r="O341" s="5">
        <f t="shared" si="15"/>
        <v>220000</v>
      </c>
      <c r="P341" s="51"/>
      <c r="Q341" s="8" t="s">
        <v>1972</v>
      </c>
      <c r="R341" s="144"/>
    </row>
    <row r="342" spans="1:18" s="44" customFormat="1" outlineLevel="1" x14ac:dyDescent="0.25">
      <c r="A342" s="145"/>
      <c r="B342" s="147"/>
      <c r="C342" s="154" t="s">
        <v>1947</v>
      </c>
      <c r="D342" s="2"/>
      <c r="E342" s="145"/>
      <c r="F342" s="2"/>
      <c r="G342" s="147"/>
      <c r="H342" s="3"/>
      <c r="I342" s="27">
        <f t="shared" ref="I342:O342" si="16">SUBTOTAL(9,I306:I341)</f>
        <v>341864772.78999996</v>
      </c>
      <c r="J342" s="27">
        <f t="shared" si="16"/>
        <v>301815509.27999997</v>
      </c>
      <c r="K342" s="27">
        <f t="shared" si="16"/>
        <v>3040</v>
      </c>
      <c r="L342" s="148">
        <f t="shared" si="16"/>
        <v>136745909.116</v>
      </c>
      <c r="M342" s="148">
        <f t="shared" si="16"/>
        <v>0</v>
      </c>
      <c r="N342" s="27">
        <f t="shared" si="16"/>
        <v>301815509.27999997</v>
      </c>
      <c r="O342" s="148">
        <f t="shared" si="16"/>
        <v>136745909.116</v>
      </c>
      <c r="P342" s="27"/>
      <c r="Q342" s="16"/>
      <c r="R342" s="61"/>
    </row>
    <row r="343" spans="1:18" s="44" customFormat="1" ht="49.5" customHeight="1" outlineLevel="2" x14ac:dyDescent="0.25">
      <c r="A343" s="3" t="s">
        <v>24</v>
      </c>
      <c r="B343" s="2" t="s">
        <v>305</v>
      </c>
      <c r="C343" s="12" t="s">
        <v>42</v>
      </c>
      <c r="D343" s="2" t="s">
        <v>313</v>
      </c>
      <c r="E343" s="3" t="s">
        <v>26</v>
      </c>
      <c r="F343" s="2" t="s">
        <v>193</v>
      </c>
      <c r="G343" s="2" t="s">
        <v>314</v>
      </c>
      <c r="H343" s="3" t="s">
        <v>107</v>
      </c>
      <c r="I343" s="5">
        <v>6569.56</v>
      </c>
      <c r="J343" s="5">
        <v>6569.56</v>
      </c>
      <c r="K343" s="12">
        <v>100</v>
      </c>
      <c r="L343" s="45">
        <v>6569.56</v>
      </c>
      <c r="M343" s="5">
        <v>6569.56</v>
      </c>
      <c r="N343" s="5"/>
      <c r="O343" s="5">
        <f>L343-M343</f>
        <v>0</v>
      </c>
      <c r="P343" s="5"/>
      <c r="Q343" s="8" t="s">
        <v>2021</v>
      </c>
      <c r="R343" s="142"/>
    </row>
    <row r="344" spans="1:18" s="44" customFormat="1" ht="49.5" customHeight="1" outlineLevel="2" x14ac:dyDescent="0.25">
      <c r="A344" s="3" t="s">
        <v>24</v>
      </c>
      <c r="B344" s="2" t="s">
        <v>1219</v>
      </c>
      <c r="C344" s="12" t="s">
        <v>42</v>
      </c>
      <c r="D344" s="2" t="s">
        <v>1223</v>
      </c>
      <c r="E344" s="3" t="s">
        <v>26</v>
      </c>
      <c r="F344" s="2" t="s">
        <v>193</v>
      </c>
      <c r="G344" s="2" t="s">
        <v>1220</v>
      </c>
      <c r="H344" s="3" t="s">
        <v>107</v>
      </c>
      <c r="I344" s="5">
        <v>38462.28</v>
      </c>
      <c r="J344" s="5">
        <v>38462.28</v>
      </c>
      <c r="K344" s="12">
        <v>100</v>
      </c>
      <c r="L344" s="45">
        <v>38462.28</v>
      </c>
      <c r="M344" s="5">
        <v>38462.28</v>
      </c>
      <c r="N344" s="5"/>
      <c r="O344" s="5">
        <f t="shared" ref="O344:O407" si="17">L344-M344</f>
        <v>0</v>
      </c>
      <c r="P344" s="5"/>
      <c r="Q344" s="8" t="s">
        <v>2022</v>
      </c>
      <c r="R344" s="142"/>
    </row>
    <row r="345" spans="1:18" s="44" customFormat="1" ht="49.5" customHeight="1" outlineLevel="2" x14ac:dyDescent="0.25">
      <c r="A345" s="3" t="s">
        <v>24</v>
      </c>
      <c r="B345" s="2" t="s">
        <v>1825</v>
      </c>
      <c r="C345" s="12" t="s">
        <v>42</v>
      </c>
      <c r="D345" s="2" t="s">
        <v>1830</v>
      </c>
      <c r="E345" s="3" t="s">
        <v>26</v>
      </c>
      <c r="F345" s="2" t="s">
        <v>193</v>
      </c>
      <c r="G345" s="2" t="s">
        <v>1827</v>
      </c>
      <c r="H345" s="3" t="s">
        <v>107</v>
      </c>
      <c r="I345" s="5">
        <v>19857.599999999999</v>
      </c>
      <c r="J345" s="5">
        <v>19857.599999999999</v>
      </c>
      <c r="K345" s="12">
        <v>100</v>
      </c>
      <c r="L345" s="45">
        <v>19857.599999999999</v>
      </c>
      <c r="M345" s="5">
        <v>19857.599999999999</v>
      </c>
      <c r="N345" s="5"/>
      <c r="O345" s="5">
        <f t="shared" si="17"/>
        <v>0</v>
      </c>
      <c r="P345" s="5"/>
      <c r="Q345" s="8" t="s">
        <v>2023</v>
      </c>
      <c r="R345" s="142"/>
    </row>
    <row r="346" spans="1:18" ht="49.5" customHeight="1" outlineLevel="2" x14ac:dyDescent="0.2">
      <c r="A346" s="3" t="s">
        <v>24</v>
      </c>
      <c r="B346" s="2" t="s">
        <v>1141</v>
      </c>
      <c r="C346" s="12" t="s">
        <v>42</v>
      </c>
      <c r="D346" s="2" t="s">
        <v>1150</v>
      </c>
      <c r="E346" s="6" t="s">
        <v>29</v>
      </c>
      <c r="F346" s="2" t="s">
        <v>732</v>
      </c>
      <c r="G346" s="2" t="s">
        <v>1151</v>
      </c>
      <c r="H346" s="3" t="s">
        <v>34</v>
      </c>
      <c r="I346" s="5">
        <v>83018952.420000002</v>
      </c>
      <c r="J346" s="5">
        <v>52199587.729999997</v>
      </c>
      <c r="K346" s="12">
        <v>63</v>
      </c>
      <c r="L346" s="45">
        <f>I346*40%</f>
        <v>33207580.968000002</v>
      </c>
      <c r="M346" s="5">
        <v>0</v>
      </c>
      <c r="N346" s="5">
        <v>52199587.729999997</v>
      </c>
      <c r="O346" s="5">
        <f t="shared" si="17"/>
        <v>33207580.968000002</v>
      </c>
      <c r="P346" s="5"/>
      <c r="Q346" s="8" t="s">
        <v>2664</v>
      </c>
      <c r="R346" s="141"/>
    </row>
    <row r="347" spans="1:18" ht="49.5" customHeight="1" outlineLevel="2" x14ac:dyDescent="0.2">
      <c r="A347" s="3" t="s">
        <v>24</v>
      </c>
      <c r="B347" s="2" t="s">
        <v>2563</v>
      </c>
      <c r="C347" s="12" t="s">
        <v>42</v>
      </c>
      <c r="D347" s="2" t="s">
        <v>76</v>
      </c>
      <c r="E347" s="3" t="s">
        <v>29</v>
      </c>
      <c r="F347" s="2" t="s">
        <v>77</v>
      </c>
      <c r="G347" s="2" t="s">
        <v>75</v>
      </c>
      <c r="H347" s="3" t="s">
        <v>78</v>
      </c>
      <c r="I347" s="5">
        <v>327766227.60000002</v>
      </c>
      <c r="J347" s="5">
        <v>51930875.520000003</v>
      </c>
      <c r="K347" s="12">
        <v>16</v>
      </c>
      <c r="L347" s="5">
        <v>38351005.439999998</v>
      </c>
      <c r="M347" s="5">
        <v>38351005.439999998</v>
      </c>
      <c r="N347" s="5">
        <v>13579870.08</v>
      </c>
      <c r="O347" s="5">
        <f t="shared" si="17"/>
        <v>0</v>
      </c>
      <c r="P347" s="5"/>
      <c r="Q347" s="8" t="s">
        <v>2665</v>
      </c>
      <c r="R347" s="141"/>
    </row>
    <row r="348" spans="1:18" s="44" customFormat="1" ht="49.5" customHeight="1" outlineLevel="2" x14ac:dyDescent="0.25">
      <c r="A348" s="3" t="s">
        <v>24</v>
      </c>
      <c r="B348" s="2" t="s">
        <v>116</v>
      </c>
      <c r="C348" s="12" t="s">
        <v>42</v>
      </c>
      <c r="D348" s="2" t="s">
        <v>120</v>
      </c>
      <c r="E348" s="3" t="s">
        <v>29</v>
      </c>
      <c r="F348" s="33" t="s">
        <v>122</v>
      </c>
      <c r="G348" s="2" t="s">
        <v>121</v>
      </c>
      <c r="H348" s="3" t="s">
        <v>78</v>
      </c>
      <c r="I348" s="5">
        <v>22557609.920000002</v>
      </c>
      <c r="J348" s="5">
        <v>2340473.52</v>
      </c>
      <c r="K348" s="12">
        <v>10</v>
      </c>
      <c r="L348" s="5">
        <v>2340473.52</v>
      </c>
      <c r="M348" s="5">
        <v>2340473.52</v>
      </c>
      <c r="N348" s="5"/>
      <c r="O348" s="5">
        <f t="shared" si="17"/>
        <v>0</v>
      </c>
      <c r="P348" s="5"/>
      <c r="Q348" s="8"/>
      <c r="R348" s="142"/>
    </row>
    <row r="349" spans="1:18" s="44" customFormat="1" ht="49.5" customHeight="1" outlineLevel="2" x14ac:dyDescent="0.25">
      <c r="A349" s="3" t="s">
        <v>24</v>
      </c>
      <c r="B349" s="2" t="s">
        <v>116</v>
      </c>
      <c r="C349" s="12" t="s">
        <v>42</v>
      </c>
      <c r="D349" s="2" t="s">
        <v>120</v>
      </c>
      <c r="E349" s="3" t="s">
        <v>29</v>
      </c>
      <c r="F349" s="2" t="s">
        <v>123</v>
      </c>
      <c r="G349" s="2" t="s">
        <v>121</v>
      </c>
      <c r="H349" s="3" t="s">
        <v>107</v>
      </c>
      <c r="I349" s="5">
        <v>22557609.920000002</v>
      </c>
      <c r="J349" s="5">
        <v>9599972.3300000001</v>
      </c>
      <c r="K349" s="12">
        <v>43</v>
      </c>
      <c r="L349" s="5">
        <v>2144156.2599999998</v>
      </c>
      <c r="M349" s="5">
        <v>2144156.2599999998</v>
      </c>
      <c r="N349" s="5">
        <v>7455816.0700000003</v>
      </c>
      <c r="O349" s="5">
        <v>0</v>
      </c>
      <c r="P349" s="5"/>
      <c r="Q349" s="8" t="s">
        <v>2136</v>
      </c>
      <c r="R349" s="142"/>
    </row>
    <row r="350" spans="1:18" s="44" customFormat="1" ht="49.5" customHeight="1" outlineLevel="2" x14ac:dyDescent="0.25">
      <c r="A350" s="3" t="s">
        <v>24</v>
      </c>
      <c r="B350" s="2" t="s">
        <v>136</v>
      </c>
      <c r="C350" s="12" t="s">
        <v>42</v>
      </c>
      <c r="D350" s="2" t="s">
        <v>137</v>
      </c>
      <c r="E350" s="3" t="s">
        <v>29</v>
      </c>
      <c r="F350" s="2" t="s">
        <v>139</v>
      </c>
      <c r="G350" s="2" t="s">
        <v>138</v>
      </c>
      <c r="H350" s="3" t="s">
        <v>78</v>
      </c>
      <c r="I350" s="5">
        <v>6657030.4500000002</v>
      </c>
      <c r="J350" s="5">
        <v>631453.15</v>
      </c>
      <c r="K350" s="12">
        <v>9</v>
      </c>
      <c r="L350" s="5">
        <v>157863.29</v>
      </c>
      <c r="M350" s="5">
        <v>157863.29</v>
      </c>
      <c r="N350" s="5">
        <v>473589.86</v>
      </c>
      <c r="O350" s="5">
        <v>0</v>
      </c>
      <c r="P350" s="5"/>
      <c r="Q350" s="8" t="s">
        <v>1975</v>
      </c>
      <c r="R350" s="142"/>
    </row>
    <row r="351" spans="1:18" s="44" customFormat="1" ht="49.5" customHeight="1" outlineLevel="2" x14ac:dyDescent="0.25">
      <c r="A351" s="3" t="s">
        <v>24</v>
      </c>
      <c r="B351" s="2" t="s">
        <v>136</v>
      </c>
      <c r="C351" s="12" t="s">
        <v>42</v>
      </c>
      <c r="D351" s="2" t="s">
        <v>137</v>
      </c>
      <c r="E351" s="3" t="s">
        <v>29</v>
      </c>
      <c r="F351" s="2" t="s">
        <v>140</v>
      </c>
      <c r="G351" s="2" t="s">
        <v>138</v>
      </c>
      <c r="H351" s="3" t="s">
        <v>34</v>
      </c>
      <c r="I351" s="5">
        <v>6657030.4500000002</v>
      </c>
      <c r="J351" s="5">
        <v>1760130.61</v>
      </c>
      <c r="K351" s="12">
        <v>26</v>
      </c>
      <c r="L351" s="56">
        <f>J351*0.5</f>
        <v>880065.30500000005</v>
      </c>
      <c r="M351" s="5"/>
      <c r="N351" s="5">
        <v>1760130.61</v>
      </c>
      <c r="O351" s="5">
        <f t="shared" si="17"/>
        <v>880065.30500000005</v>
      </c>
      <c r="P351" s="40">
        <v>45540</v>
      </c>
      <c r="Q351" s="39" t="s">
        <v>2932</v>
      </c>
      <c r="R351" s="142"/>
    </row>
    <row r="352" spans="1:18" s="44" customFormat="1" ht="70.5" customHeight="1" outlineLevel="2" x14ac:dyDescent="0.25">
      <c r="A352" s="3" t="s">
        <v>24</v>
      </c>
      <c r="B352" s="2" t="s">
        <v>183</v>
      </c>
      <c r="C352" s="12" t="s">
        <v>42</v>
      </c>
      <c r="D352" s="2" t="s">
        <v>192</v>
      </c>
      <c r="E352" s="3" t="s">
        <v>29</v>
      </c>
      <c r="F352" s="2" t="s">
        <v>193</v>
      </c>
      <c r="G352" s="2" t="s">
        <v>184</v>
      </c>
      <c r="H352" s="3" t="s">
        <v>107</v>
      </c>
      <c r="I352" s="5">
        <v>1051034.3999999999</v>
      </c>
      <c r="J352" s="5">
        <v>1051034.3999999999</v>
      </c>
      <c r="K352" s="12">
        <v>100</v>
      </c>
      <c r="L352" s="45">
        <v>1051034.3999999999</v>
      </c>
      <c r="M352" s="57">
        <v>420413.76</v>
      </c>
      <c r="N352" s="5">
        <f>J352-M352</f>
        <v>630620.6399999999</v>
      </c>
      <c r="O352" s="5">
        <f t="shared" si="17"/>
        <v>630620.6399999999</v>
      </c>
      <c r="P352" s="42">
        <v>45548</v>
      </c>
      <c r="Q352" s="39" t="s">
        <v>2933</v>
      </c>
      <c r="R352" s="142"/>
    </row>
    <row r="353" spans="1:18" ht="70.5" customHeight="1" outlineLevel="2" x14ac:dyDescent="0.2">
      <c r="A353" s="3" t="s">
        <v>24</v>
      </c>
      <c r="B353" s="2" t="s">
        <v>196</v>
      </c>
      <c r="C353" s="12" t="s">
        <v>42</v>
      </c>
      <c r="D353" s="2" t="s">
        <v>197</v>
      </c>
      <c r="E353" s="3" t="s">
        <v>29</v>
      </c>
      <c r="F353" s="2" t="s">
        <v>199</v>
      </c>
      <c r="G353" s="2" t="s">
        <v>198</v>
      </c>
      <c r="H353" s="3" t="s">
        <v>78</v>
      </c>
      <c r="I353" s="5">
        <v>22333106.399999999</v>
      </c>
      <c r="J353" s="5">
        <v>4185360</v>
      </c>
      <c r="K353" s="12">
        <v>19</v>
      </c>
      <c r="L353" s="5">
        <v>2877435</v>
      </c>
      <c r="M353" s="5">
        <v>2877435</v>
      </c>
      <c r="N353" s="5">
        <f>J353-L353</f>
        <v>1307925</v>
      </c>
      <c r="O353" s="5">
        <f t="shared" si="17"/>
        <v>0</v>
      </c>
      <c r="P353" s="42"/>
      <c r="Q353" s="8" t="s">
        <v>2137</v>
      </c>
      <c r="R353" s="141"/>
    </row>
    <row r="354" spans="1:18" ht="70.5" customHeight="1" outlineLevel="2" x14ac:dyDescent="0.2">
      <c r="A354" s="3" t="s">
        <v>24</v>
      </c>
      <c r="B354" s="2" t="s">
        <v>206</v>
      </c>
      <c r="C354" s="12" t="s">
        <v>42</v>
      </c>
      <c r="D354" s="2" t="s">
        <v>207</v>
      </c>
      <c r="E354" s="3" t="s">
        <v>29</v>
      </c>
      <c r="F354" s="2" t="s">
        <v>139</v>
      </c>
      <c r="G354" s="2" t="s">
        <v>208</v>
      </c>
      <c r="H354" s="3" t="s">
        <v>78</v>
      </c>
      <c r="I354" s="5">
        <v>11734775806.709999</v>
      </c>
      <c r="J354" s="5">
        <v>1233905664.8099999</v>
      </c>
      <c r="K354" s="12">
        <v>11</v>
      </c>
      <c r="L354" s="5">
        <v>600184102.42999995</v>
      </c>
      <c r="M354" s="5">
        <v>600184102.42999995</v>
      </c>
      <c r="N354" s="5">
        <v>633721562.38</v>
      </c>
      <c r="O354" s="5">
        <f t="shared" si="17"/>
        <v>0</v>
      </c>
      <c r="P354" s="5"/>
      <c r="Q354" s="8" t="s">
        <v>2138</v>
      </c>
      <c r="R354" s="141"/>
    </row>
    <row r="355" spans="1:18" s="44" customFormat="1" ht="70.5" customHeight="1" outlineLevel="2" x14ac:dyDescent="0.25">
      <c r="A355" s="3" t="s">
        <v>24</v>
      </c>
      <c r="B355" s="2" t="s">
        <v>206</v>
      </c>
      <c r="C355" s="12" t="s">
        <v>42</v>
      </c>
      <c r="D355" s="2" t="s">
        <v>207</v>
      </c>
      <c r="E355" s="3" t="s">
        <v>29</v>
      </c>
      <c r="F355" s="2" t="s">
        <v>209</v>
      </c>
      <c r="G355" s="2" t="s">
        <v>208</v>
      </c>
      <c r="H355" s="3" t="s">
        <v>34</v>
      </c>
      <c r="I355" s="5">
        <v>11734775806.709999</v>
      </c>
      <c r="J355" s="5">
        <v>3339206095.0700002</v>
      </c>
      <c r="K355" s="12">
        <v>28</v>
      </c>
      <c r="L355" s="5">
        <v>1669603047.54</v>
      </c>
      <c r="M355" s="5">
        <v>1669603047.54</v>
      </c>
      <c r="N355" s="5">
        <v>1669603047.53</v>
      </c>
      <c r="O355" s="5">
        <f t="shared" si="17"/>
        <v>0</v>
      </c>
      <c r="P355" s="5"/>
      <c r="Q355" s="8" t="s">
        <v>2139</v>
      </c>
      <c r="R355" s="142"/>
    </row>
    <row r="356" spans="1:18" s="44" customFormat="1" ht="30" outlineLevel="2" x14ac:dyDescent="0.25">
      <c r="A356" s="3" t="s">
        <v>24</v>
      </c>
      <c r="B356" s="2" t="s">
        <v>269</v>
      </c>
      <c r="C356" s="12" t="s">
        <v>42</v>
      </c>
      <c r="D356" s="2" t="s">
        <v>270</v>
      </c>
      <c r="E356" s="3" t="s">
        <v>29</v>
      </c>
      <c r="F356" s="2" t="s">
        <v>271</v>
      </c>
      <c r="G356" s="2" t="s">
        <v>75</v>
      </c>
      <c r="H356" s="3" t="s">
        <v>78</v>
      </c>
      <c r="I356" s="5">
        <v>72287692.319999993</v>
      </c>
      <c r="J356" s="5">
        <v>33370014.48</v>
      </c>
      <c r="K356" s="12">
        <v>46</v>
      </c>
      <c r="L356" s="5">
        <v>25027510.859999999</v>
      </c>
      <c r="M356" s="5">
        <v>25027510.859999999</v>
      </c>
      <c r="N356" s="5">
        <v>8342503.6200000001</v>
      </c>
      <c r="O356" s="5">
        <f t="shared" si="17"/>
        <v>0</v>
      </c>
      <c r="P356" s="5"/>
      <c r="Q356" s="39" t="s">
        <v>2934</v>
      </c>
      <c r="R356" s="142"/>
    </row>
    <row r="357" spans="1:18" s="44" customFormat="1" ht="30" outlineLevel="2" x14ac:dyDescent="0.25">
      <c r="A357" s="3" t="s">
        <v>24</v>
      </c>
      <c r="B357" s="2" t="s">
        <v>269</v>
      </c>
      <c r="C357" s="12" t="s">
        <v>42</v>
      </c>
      <c r="D357" s="2" t="s">
        <v>270</v>
      </c>
      <c r="E357" s="3" t="s">
        <v>29</v>
      </c>
      <c r="F357" s="2" t="s">
        <v>45</v>
      </c>
      <c r="G357" s="2" t="s">
        <v>75</v>
      </c>
      <c r="H357" s="3" t="s">
        <v>34</v>
      </c>
      <c r="I357" s="5">
        <v>72287692.319999993</v>
      </c>
      <c r="J357" s="5">
        <v>24460139.379999999</v>
      </c>
      <c r="K357" s="12">
        <v>34</v>
      </c>
      <c r="L357" s="5">
        <v>12230069.689999999</v>
      </c>
      <c r="M357" s="5">
        <v>12230069.689999999</v>
      </c>
      <c r="N357" s="5">
        <v>12230069.689999999</v>
      </c>
      <c r="O357" s="5">
        <f t="shared" si="17"/>
        <v>0</v>
      </c>
      <c r="P357" s="5"/>
      <c r="Q357" s="8" t="s">
        <v>2140</v>
      </c>
      <c r="R357" s="142"/>
    </row>
    <row r="358" spans="1:18" ht="42" customHeight="1" outlineLevel="2" x14ac:dyDescent="0.2">
      <c r="A358" s="3" t="s">
        <v>24</v>
      </c>
      <c r="B358" s="2" t="s">
        <v>283</v>
      </c>
      <c r="C358" s="12" t="s">
        <v>42</v>
      </c>
      <c r="D358" s="2" t="s">
        <v>284</v>
      </c>
      <c r="E358" s="3" t="s">
        <v>29</v>
      </c>
      <c r="F358" s="2" t="s">
        <v>286</v>
      </c>
      <c r="G358" s="2" t="s">
        <v>285</v>
      </c>
      <c r="H358" s="3" t="s">
        <v>78</v>
      </c>
      <c r="I358" s="5">
        <v>2915312546.3099999</v>
      </c>
      <c r="J358" s="5">
        <v>626516089.58000004</v>
      </c>
      <c r="K358" s="12">
        <v>21</v>
      </c>
      <c r="L358" s="5">
        <v>626516089.58000004</v>
      </c>
      <c r="M358" s="5">
        <v>276654414.51999998</v>
      </c>
      <c r="N358" s="5">
        <f>J358-M358</f>
        <v>349861675.06000006</v>
      </c>
      <c r="O358" s="57">
        <f t="shared" si="17"/>
        <v>349861675.06000006</v>
      </c>
      <c r="P358" s="5"/>
      <c r="Q358" s="59" t="s">
        <v>2141</v>
      </c>
      <c r="R358" s="141"/>
    </row>
    <row r="359" spans="1:18" s="44" customFormat="1" ht="30" outlineLevel="2" x14ac:dyDescent="0.25">
      <c r="A359" s="3" t="s">
        <v>24</v>
      </c>
      <c r="B359" s="2" t="s">
        <v>283</v>
      </c>
      <c r="C359" s="12" t="s">
        <v>42</v>
      </c>
      <c r="D359" s="2" t="s">
        <v>288</v>
      </c>
      <c r="E359" s="3" t="s">
        <v>29</v>
      </c>
      <c r="F359" s="2" t="s">
        <v>290</v>
      </c>
      <c r="G359" s="2" t="s">
        <v>289</v>
      </c>
      <c r="H359" s="3" t="s">
        <v>78</v>
      </c>
      <c r="I359" s="5">
        <v>436261.48</v>
      </c>
      <c r="J359" s="5">
        <v>179340</v>
      </c>
      <c r="K359" s="12">
        <v>41</v>
      </c>
      <c r="L359" s="45">
        <f>I359*40%</f>
        <v>174504.592</v>
      </c>
      <c r="M359" s="5"/>
      <c r="N359" s="5">
        <v>179340</v>
      </c>
      <c r="O359" s="60">
        <f t="shared" si="17"/>
        <v>174504.592</v>
      </c>
      <c r="P359" s="42">
        <v>45546</v>
      </c>
      <c r="Q359" s="8" t="s">
        <v>2935</v>
      </c>
      <c r="R359" s="142"/>
    </row>
    <row r="360" spans="1:18" s="44" customFormat="1" ht="30" outlineLevel="2" x14ac:dyDescent="0.25">
      <c r="A360" s="3" t="s">
        <v>24</v>
      </c>
      <c r="B360" s="2" t="s">
        <v>305</v>
      </c>
      <c r="C360" s="12" t="s">
        <v>42</v>
      </c>
      <c r="D360" s="2" t="s">
        <v>306</v>
      </c>
      <c r="E360" s="3" t="s">
        <v>29</v>
      </c>
      <c r="F360" s="2" t="s">
        <v>307</v>
      </c>
      <c r="G360" s="2" t="s">
        <v>117</v>
      </c>
      <c r="H360" s="3" t="s">
        <v>308</v>
      </c>
      <c r="I360" s="5">
        <v>10103051.15</v>
      </c>
      <c r="J360" s="5">
        <v>2427494</v>
      </c>
      <c r="K360" s="12">
        <v>24</v>
      </c>
      <c r="L360" s="5">
        <v>2427494</v>
      </c>
      <c r="M360" s="5">
        <v>2427494</v>
      </c>
      <c r="N360" s="5"/>
      <c r="O360" s="5">
        <f t="shared" si="17"/>
        <v>0</v>
      </c>
      <c r="P360" s="5"/>
      <c r="Q360" s="39" t="s">
        <v>2024</v>
      </c>
      <c r="R360" s="142"/>
    </row>
    <row r="361" spans="1:18" s="44" customFormat="1" ht="45" outlineLevel="2" x14ac:dyDescent="0.25">
      <c r="A361" s="3" t="s">
        <v>24</v>
      </c>
      <c r="B361" s="2" t="s">
        <v>322</v>
      </c>
      <c r="C361" s="12" t="s">
        <v>42</v>
      </c>
      <c r="D361" s="2" t="s">
        <v>2142</v>
      </c>
      <c r="E361" s="3" t="s">
        <v>29</v>
      </c>
      <c r="F361" s="2" t="s">
        <v>139</v>
      </c>
      <c r="G361" s="2" t="s">
        <v>75</v>
      </c>
      <c r="H361" s="3" t="s">
        <v>78</v>
      </c>
      <c r="I361" s="5">
        <v>9873570</v>
      </c>
      <c r="J361" s="5">
        <f>I361*0.8</f>
        <v>7898856</v>
      </c>
      <c r="K361" s="12">
        <v>80</v>
      </c>
      <c r="L361" s="5">
        <v>7898856</v>
      </c>
      <c r="M361" s="5">
        <v>7898856</v>
      </c>
      <c r="N361" s="5"/>
      <c r="O361" s="5">
        <f t="shared" si="17"/>
        <v>0</v>
      </c>
      <c r="P361" s="5"/>
      <c r="Q361" s="8"/>
      <c r="R361" s="142"/>
    </row>
    <row r="362" spans="1:18" s="44" customFormat="1" ht="45" outlineLevel="2" x14ac:dyDescent="0.25">
      <c r="A362" s="3" t="s">
        <v>24</v>
      </c>
      <c r="B362" s="2" t="s">
        <v>322</v>
      </c>
      <c r="C362" s="12" t="s">
        <v>42</v>
      </c>
      <c r="D362" s="2" t="s">
        <v>2143</v>
      </c>
      <c r="E362" s="3" t="s">
        <v>29</v>
      </c>
      <c r="F362" s="2" t="s">
        <v>324</v>
      </c>
      <c r="G362" s="2" t="s">
        <v>323</v>
      </c>
      <c r="H362" s="3" t="s">
        <v>34</v>
      </c>
      <c r="I362" s="5">
        <v>25016950.800000001</v>
      </c>
      <c r="J362" s="5">
        <f>I362*0.8</f>
        <v>20013560.640000001</v>
      </c>
      <c r="K362" s="12">
        <v>80</v>
      </c>
      <c r="L362" s="45">
        <f>I362*40%</f>
        <v>10006780.32</v>
      </c>
      <c r="M362" s="5">
        <v>10006780.32</v>
      </c>
      <c r="N362" s="5">
        <v>10006780.32</v>
      </c>
      <c r="O362" s="5">
        <f t="shared" si="17"/>
        <v>0</v>
      </c>
      <c r="P362" s="5"/>
      <c r="Q362" s="8"/>
      <c r="R362" s="142"/>
    </row>
    <row r="363" spans="1:18" s="44" customFormat="1" ht="30" outlineLevel="2" x14ac:dyDescent="0.25">
      <c r="A363" s="3" t="s">
        <v>24</v>
      </c>
      <c r="B363" s="2" t="s">
        <v>359</v>
      </c>
      <c r="C363" s="12" t="s">
        <v>42</v>
      </c>
      <c r="D363" s="2" t="s">
        <v>362</v>
      </c>
      <c r="E363" s="3" t="s">
        <v>29</v>
      </c>
      <c r="F363" s="2" t="s">
        <v>363</v>
      </c>
      <c r="G363" s="2" t="s">
        <v>117</v>
      </c>
      <c r="H363" s="3" t="s">
        <v>78</v>
      </c>
      <c r="I363" s="5">
        <v>15998591.4</v>
      </c>
      <c r="J363" s="5">
        <v>8252072.4000000004</v>
      </c>
      <c r="K363" s="12">
        <v>52</v>
      </c>
      <c r="L363" s="5">
        <v>8252072.4000000004</v>
      </c>
      <c r="M363" s="5">
        <v>8252072.4000000004</v>
      </c>
      <c r="N363" s="5"/>
      <c r="O363" s="5">
        <f t="shared" si="17"/>
        <v>0</v>
      </c>
      <c r="P363" s="5"/>
      <c r="Q363" s="8" t="s">
        <v>2025</v>
      </c>
      <c r="R363" s="142"/>
    </row>
    <row r="364" spans="1:18" s="44" customFormat="1" ht="30" outlineLevel="2" x14ac:dyDescent="0.25">
      <c r="A364" s="3" t="s">
        <v>24</v>
      </c>
      <c r="B364" s="2" t="s">
        <v>359</v>
      </c>
      <c r="C364" s="12" t="s">
        <v>42</v>
      </c>
      <c r="D364" s="2" t="s">
        <v>364</v>
      </c>
      <c r="E364" s="3" t="s">
        <v>29</v>
      </c>
      <c r="F364" s="2" t="s">
        <v>365</v>
      </c>
      <c r="G364" s="2" t="s">
        <v>117</v>
      </c>
      <c r="H364" s="3" t="s">
        <v>107</v>
      </c>
      <c r="I364" s="5">
        <v>49144524.759999998</v>
      </c>
      <c r="J364" s="5">
        <v>30610118.09</v>
      </c>
      <c r="K364" s="12">
        <v>62</v>
      </c>
      <c r="L364" s="5">
        <v>30610118.079999998</v>
      </c>
      <c r="M364" s="5">
        <v>30610118.079999998</v>
      </c>
      <c r="N364" s="5">
        <v>0.01</v>
      </c>
      <c r="O364" s="5">
        <f t="shared" si="17"/>
        <v>0</v>
      </c>
      <c r="P364" s="5"/>
      <c r="Q364" s="8" t="s">
        <v>2026</v>
      </c>
      <c r="R364" s="142"/>
    </row>
    <row r="365" spans="1:18" ht="45" outlineLevel="2" x14ac:dyDescent="0.2">
      <c r="A365" s="3" t="s">
        <v>24</v>
      </c>
      <c r="B365" s="2" t="s">
        <v>2666</v>
      </c>
      <c r="C365" s="12" t="s">
        <v>42</v>
      </c>
      <c r="D365" s="2" t="s">
        <v>384</v>
      </c>
      <c r="E365" s="3" t="s">
        <v>29</v>
      </c>
      <c r="F365" s="2" t="s">
        <v>385</v>
      </c>
      <c r="G365" s="2" t="s">
        <v>203</v>
      </c>
      <c r="H365" s="6" t="s">
        <v>386</v>
      </c>
      <c r="I365" s="5">
        <v>703665055.00999999</v>
      </c>
      <c r="J365" s="5">
        <v>357486968.00999999</v>
      </c>
      <c r="K365" s="12">
        <v>51</v>
      </c>
      <c r="L365" s="45">
        <f>I365*40%</f>
        <v>281466022.00400001</v>
      </c>
      <c r="M365" s="5">
        <f>75359784.51+127823842.41</f>
        <v>203183626.92000002</v>
      </c>
      <c r="N365" s="5">
        <v>282127183.5</v>
      </c>
      <c r="O365" s="5">
        <f t="shared" si="17"/>
        <v>78282395.083999991</v>
      </c>
      <c r="P365" s="5"/>
      <c r="Q365" s="39" t="s">
        <v>2667</v>
      </c>
      <c r="R365" s="141"/>
    </row>
    <row r="366" spans="1:18" s="44" customFormat="1" ht="30" outlineLevel="2" x14ac:dyDescent="0.25">
      <c r="A366" s="3" t="s">
        <v>24</v>
      </c>
      <c r="B366" s="2" t="s">
        <v>395</v>
      </c>
      <c r="C366" s="12" t="s">
        <v>42</v>
      </c>
      <c r="D366" s="2" t="s">
        <v>397</v>
      </c>
      <c r="E366" s="3" t="s">
        <v>29</v>
      </c>
      <c r="F366" s="2" t="s">
        <v>139</v>
      </c>
      <c r="G366" s="2" t="s">
        <v>398</v>
      </c>
      <c r="H366" s="3" t="s">
        <v>78</v>
      </c>
      <c r="I366" s="5">
        <v>7207014</v>
      </c>
      <c r="J366" s="5">
        <v>1097448</v>
      </c>
      <c r="K366" s="12">
        <v>15</v>
      </c>
      <c r="L366" s="5">
        <v>1097448</v>
      </c>
      <c r="M366" s="5"/>
      <c r="N366" s="5">
        <v>1097448</v>
      </c>
      <c r="O366" s="5">
        <f t="shared" si="17"/>
        <v>1097448</v>
      </c>
      <c r="P366" s="5"/>
      <c r="Q366" s="39" t="s">
        <v>2936</v>
      </c>
      <c r="R366" s="142"/>
    </row>
    <row r="367" spans="1:18" s="44" customFormat="1" ht="30" outlineLevel="2" x14ac:dyDescent="0.25">
      <c r="A367" s="3" t="s">
        <v>24</v>
      </c>
      <c r="B367" s="2" t="s">
        <v>406</v>
      </c>
      <c r="C367" s="12" t="s">
        <v>42</v>
      </c>
      <c r="D367" s="2" t="s">
        <v>407</v>
      </c>
      <c r="E367" s="3" t="s">
        <v>29</v>
      </c>
      <c r="F367" s="2" t="s">
        <v>193</v>
      </c>
      <c r="G367" s="2" t="s">
        <v>408</v>
      </c>
      <c r="H367" s="3" t="s">
        <v>107</v>
      </c>
      <c r="I367" s="5">
        <v>14496</v>
      </c>
      <c r="J367" s="5">
        <v>14496</v>
      </c>
      <c r="K367" s="12">
        <v>100</v>
      </c>
      <c r="L367" s="45">
        <f>I367*40%</f>
        <v>5798.4000000000005</v>
      </c>
      <c r="M367" s="5"/>
      <c r="N367" s="5">
        <v>14496</v>
      </c>
      <c r="O367" s="5">
        <f t="shared" si="17"/>
        <v>5798.4000000000005</v>
      </c>
      <c r="P367" s="5"/>
      <c r="Q367" s="8"/>
      <c r="R367" s="142"/>
    </row>
    <row r="368" spans="1:18" ht="45" outlineLevel="2" x14ac:dyDescent="0.2">
      <c r="A368" s="3" t="s">
        <v>24</v>
      </c>
      <c r="B368" s="2" t="s">
        <v>462</v>
      </c>
      <c r="C368" s="12" t="s">
        <v>42</v>
      </c>
      <c r="D368" s="2" t="s">
        <v>463</v>
      </c>
      <c r="E368" s="3" t="s">
        <v>29</v>
      </c>
      <c r="F368" s="2" t="s">
        <v>139</v>
      </c>
      <c r="G368" s="2" t="s">
        <v>464</v>
      </c>
      <c r="H368" s="3" t="s">
        <v>78</v>
      </c>
      <c r="I368" s="5">
        <v>58389437.719999999</v>
      </c>
      <c r="J368" s="5">
        <v>12807001.439999999</v>
      </c>
      <c r="K368" s="12">
        <v>22</v>
      </c>
      <c r="L368" s="5">
        <v>6403500.7199999997</v>
      </c>
      <c r="M368" s="5">
        <v>893256.3</v>
      </c>
      <c r="N368" s="5">
        <v>11913745.140000001</v>
      </c>
      <c r="O368" s="5">
        <f t="shared" si="17"/>
        <v>5510244.4199999999</v>
      </c>
      <c r="P368" s="5"/>
      <c r="Q368" s="39" t="s">
        <v>2937</v>
      </c>
      <c r="R368" s="141"/>
    </row>
    <row r="369" spans="1:18" ht="30" outlineLevel="2" x14ac:dyDescent="0.2">
      <c r="A369" s="3" t="s">
        <v>24</v>
      </c>
      <c r="B369" s="2" t="s">
        <v>569</v>
      </c>
      <c r="C369" s="12" t="s">
        <v>42</v>
      </c>
      <c r="D369" s="2" t="s">
        <v>576</v>
      </c>
      <c r="E369" s="3" t="s">
        <v>29</v>
      </c>
      <c r="F369" s="2" t="s">
        <v>577</v>
      </c>
      <c r="G369" s="2" t="s">
        <v>571</v>
      </c>
      <c r="H369" s="3" t="s">
        <v>34</v>
      </c>
      <c r="I369" s="5">
        <v>399540343.06</v>
      </c>
      <c r="J369" s="5">
        <v>109556906.98</v>
      </c>
      <c r="K369" s="12">
        <v>27</v>
      </c>
      <c r="L369" s="5">
        <v>54778453.490000002</v>
      </c>
      <c r="M369" s="5">
        <v>54778453.490000002</v>
      </c>
      <c r="N369" s="5">
        <v>54778453.490000002</v>
      </c>
      <c r="O369" s="5">
        <f t="shared" si="17"/>
        <v>0</v>
      </c>
      <c r="P369" s="5"/>
      <c r="Q369" s="8" t="s">
        <v>2144</v>
      </c>
      <c r="R369" s="141"/>
    </row>
    <row r="370" spans="1:18" s="44" customFormat="1" ht="30" outlineLevel="2" x14ac:dyDescent="0.25">
      <c r="A370" s="3" t="s">
        <v>24</v>
      </c>
      <c r="B370" s="2" t="s">
        <v>569</v>
      </c>
      <c r="C370" s="12" t="s">
        <v>42</v>
      </c>
      <c r="D370" s="2" t="s">
        <v>576</v>
      </c>
      <c r="E370" s="3" t="s">
        <v>29</v>
      </c>
      <c r="F370" s="2" t="s">
        <v>578</v>
      </c>
      <c r="G370" s="2" t="s">
        <v>571</v>
      </c>
      <c r="H370" s="3" t="s">
        <v>78</v>
      </c>
      <c r="I370" s="5">
        <v>399540343.06</v>
      </c>
      <c r="J370" s="5">
        <v>35791929.68</v>
      </c>
      <c r="K370" s="12">
        <v>9</v>
      </c>
      <c r="L370" s="5">
        <v>26843947.25</v>
      </c>
      <c r="M370" s="5">
        <v>26843947.25</v>
      </c>
      <c r="N370" s="5">
        <v>8947982.4299999997</v>
      </c>
      <c r="O370" s="5">
        <f t="shared" si="17"/>
        <v>0</v>
      </c>
      <c r="P370" s="5"/>
      <c r="Q370" s="8" t="s">
        <v>2145</v>
      </c>
      <c r="R370" s="142"/>
    </row>
    <row r="371" spans="1:18" ht="80.25" customHeight="1" outlineLevel="2" x14ac:dyDescent="0.2">
      <c r="A371" s="3" t="s">
        <v>24</v>
      </c>
      <c r="B371" s="2" t="s">
        <v>585</v>
      </c>
      <c r="C371" s="12" t="s">
        <v>42</v>
      </c>
      <c r="D371" s="2" t="s">
        <v>589</v>
      </c>
      <c r="E371" s="3" t="s">
        <v>29</v>
      </c>
      <c r="F371" s="2" t="s">
        <v>77</v>
      </c>
      <c r="G371" s="2" t="s">
        <v>590</v>
      </c>
      <c r="H371" s="3" t="s">
        <v>78</v>
      </c>
      <c r="I371" s="5">
        <v>1656247856.4000001</v>
      </c>
      <c r="J371" s="5">
        <v>229840036.80000001</v>
      </c>
      <c r="K371" s="12">
        <v>14</v>
      </c>
      <c r="L371" s="5">
        <v>143650023</v>
      </c>
      <c r="M371" s="5">
        <v>143650023</v>
      </c>
      <c r="N371" s="5">
        <v>86190013.799999997</v>
      </c>
      <c r="O371" s="5">
        <f t="shared" si="17"/>
        <v>0</v>
      </c>
      <c r="P371" s="5"/>
      <c r="Q371" s="8" t="s">
        <v>2146</v>
      </c>
      <c r="R371" s="141"/>
    </row>
    <row r="372" spans="1:18" s="44" customFormat="1" ht="75.75" customHeight="1" outlineLevel="2" x14ac:dyDescent="0.25">
      <c r="A372" s="3" t="s">
        <v>24</v>
      </c>
      <c r="B372" s="2" t="s">
        <v>585</v>
      </c>
      <c r="C372" s="12" t="s">
        <v>42</v>
      </c>
      <c r="D372" s="2" t="s">
        <v>589</v>
      </c>
      <c r="E372" s="3" t="s">
        <v>29</v>
      </c>
      <c r="F372" s="2" t="s">
        <v>140</v>
      </c>
      <c r="G372" s="2" t="s">
        <v>590</v>
      </c>
      <c r="H372" s="3" t="s">
        <v>34</v>
      </c>
      <c r="I372" s="5">
        <v>1656247856.4000001</v>
      </c>
      <c r="J372" s="5">
        <v>639373193.27999997</v>
      </c>
      <c r="K372" s="12">
        <v>39</v>
      </c>
      <c r="L372" s="5">
        <v>290956592.04000002</v>
      </c>
      <c r="M372" s="5">
        <v>290956592.04000002</v>
      </c>
      <c r="N372" s="5">
        <v>348416601.24000001</v>
      </c>
      <c r="O372" s="5">
        <f t="shared" si="17"/>
        <v>0</v>
      </c>
      <c r="P372" s="5"/>
      <c r="Q372" s="8" t="s">
        <v>2146</v>
      </c>
      <c r="R372" s="142"/>
    </row>
    <row r="373" spans="1:18" s="44" customFormat="1" ht="30" outlineLevel="2" x14ac:dyDescent="0.25">
      <c r="A373" s="3" t="s">
        <v>24</v>
      </c>
      <c r="B373" s="2" t="s">
        <v>601</v>
      </c>
      <c r="C373" s="12" t="s">
        <v>42</v>
      </c>
      <c r="D373" s="2" t="s">
        <v>604</v>
      </c>
      <c r="E373" s="3" t="s">
        <v>29</v>
      </c>
      <c r="F373" s="2" t="s">
        <v>606</v>
      </c>
      <c r="G373" s="2" t="s">
        <v>605</v>
      </c>
      <c r="H373" s="3" t="s">
        <v>34</v>
      </c>
      <c r="I373" s="5">
        <v>45021288</v>
      </c>
      <c r="J373" s="5">
        <v>17306870.399999999</v>
      </c>
      <c r="K373" s="12">
        <v>38</v>
      </c>
      <c r="L373" s="5">
        <v>8653435.1999999993</v>
      </c>
      <c r="M373" s="5">
        <v>8653435.1999999993</v>
      </c>
      <c r="N373" s="5">
        <v>8653435.1999999993</v>
      </c>
      <c r="O373" s="5">
        <f t="shared" si="17"/>
        <v>0</v>
      </c>
      <c r="P373" s="5"/>
      <c r="Q373" s="8" t="s">
        <v>1982</v>
      </c>
      <c r="R373" s="142"/>
    </row>
    <row r="374" spans="1:18" ht="30" outlineLevel="2" x14ac:dyDescent="0.2">
      <c r="A374" s="3" t="s">
        <v>24</v>
      </c>
      <c r="B374" s="2" t="s">
        <v>2564</v>
      </c>
      <c r="C374" s="12" t="s">
        <v>42</v>
      </c>
      <c r="D374" s="2" t="s">
        <v>616</v>
      </c>
      <c r="E374" s="6" t="s">
        <v>29</v>
      </c>
      <c r="F374" s="2" t="s">
        <v>617</v>
      </c>
      <c r="G374" s="2" t="s">
        <v>614</v>
      </c>
      <c r="H374" s="3" t="s">
        <v>386</v>
      </c>
      <c r="I374" s="5">
        <v>322358000</v>
      </c>
      <c r="J374" s="5">
        <v>210912000</v>
      </c>
      <c r="K374" s="12">
        <v>65</v>
      </c>
      <c r="L374" s="5">
        <v>105456000</v>
      </c>
      <c r="M374" s="5">
        <v>105456000</v>
      </c>
      <c r="N374" s="5">
        <f>J374-L374</f>
        <v>105456000</v>
      </c>
      <c r="O374" s="5">
        <f t="shared" si="17"/>
        <v>0</v>
      </c>
      <c r="P374" s="40">
        <v>45538</v>
      </c>
      <c r="Q374" s="8" t="s">
        <v>2565</v>
      </c>
      <c r="R374" s="141"/>
    </row>
    <row r="375" spans="1:18" s="44" customFormat="1" ht="45" outlineLevel="2" x14ac:dyDescent="0.25">
      <c r="A375" s="3" t="s">
        <v>24</v>
      </c>
      <c r="B375" s="2" t="s">
        <v>2668</v>
      </c>
      <c r="C375" s="12" t="s">
        <v>42</v>
      </c>
      <c r="D375" s="2" t="s">
        <v>650</v>
      </c>
      <c r="E375" s="3" t="s">
        <v>29</v>
      </c>
      <c r="F375" s="2" t="s">
        <v>652</v>
      </c>
      <c r="G375" s="2" t="s">
        <v>651</v>
      </c>
      <c r="H375" s="3" t="s">
        <v>78</v>
      </c>
      <c r="I375" s="5">
        <v>22919029.199999999</v>
      </c>
      <c r="J375" s="5">
        <v>108504</v>
      </c>
      <c r="K375" s="12"/>
      <c r="L375" s="5">
        <f>I375*40%</f>
        <v>9167611.6799999997</v>
      </c>
      <c r="M375" s="5">
        <v>108504</v>
      </c>
      <c r="N375" s="5">
        <v>108504</v>
      </c>
      <c r="O375" s="5">
        <f t="shared" si="17"/>
        <v>9059107.6799999997</v>
      </c>
      <c r="P375" s="42"/>
      <c r="Q375" s="8" t="s">
        <v>2669</v>
      </c>
      <c r="R375" s="142"/>
    </row>
    <row r="376" spans="1:18" s="44" customFormat="1" ht="45" outlineLevel="2" x14ac:dyDescent="0.25">
      <c r="A376" s="3" t="s">
        <v>24</v>
      </c>
      <c r="B376" s="2" t="s">
        <v>667</v>
      </c>
      <c r="C376" s="12" t="s">
        <v>42</v>
      </c>
      <c r="D376" s="2" t="s">
        <v>2147</v>
      </c>
      <c r="E376" s="3" t="s">
        <v>29</v>
      </c>
      <c r="F376" s="2" t="s">
        <v>139</v>
      </c>
      <c r="G376" s="2" t="s">
        <v>670</v>
      </c>
      <c r="H376" s="3" t="s">
        <v>78</v>
      </c>
      <c r="I376" s="5">
        <v>19470000</v>
      </c>
      <c r="J376" s="5">
        <f>I376*0.8</f>
        <v>15576000</v>
      </c>
      <c r="K376" s="12">
        <v>80</v>
      </c>
      <c r="L376" s="5">
        <v>15576000</v>
      </c>
      <c r="M376" s="5">
        <f>I376*0.8</f>
        <v>15576000</v>
      </c>
      <c r="N376" s="5"/>
      <c r="O376" s="5">
        <f t="shared" si="17"/>
        <v>0</v>
      </c>
      <c r="P376" s="5"/>
      <c r="Q376" s="8"/>
      <c r="R376" s="142"/>
    </row>
    <row r="377" spans="1:18" ht="60" outlineLevel="2" x14ac:dyDescent="0.2">
      <c r="A377" s="3" t="s">
        <v>24</v>
      </c>
      <c r="B377" s="2" t="s">
        <v>691</v>
      </c>
      <c r="C377" s="12" t="s">
        <v>42</v>
      </c>
      <c r="D377" s="2" t="s">
        <v>693</v>
      </c>
      <c r="E377" s="3" t="s">
        <v>29</v>
      </c>
      <c r="F377" s="2" t="s">
        <v>139</v>
      </c>
      <c r="G377" s="2" t="s">
        <v>692</v>
      </c>
      <c r="H377" s="3" t="s">
        <v>78</v>
      </c>
      <c r="I377" s="5">
        <v>3683097.25</v>
      </c>
      <c r="J377" s="5">
        <v>1060394.02</v>
      </c>
      <c r="K377" s="12">
        <v>29</v>
      </c>
      <c r="L377" s="5">
        <v>530197.01</v>
      </c>
      <c r="M377" s="5">
        <v>530197.01</v>
      </c>
      <c r="N377" s="5">
        <v>1060394.02</v>
      </c>
      <c r="O377" s="5">
        <f t="shared" si="17"/>
        <v>0</v>
      </c>
      <c r="P377" s="5"/>
      <c r="Q377" s="8" t="s">
        <v>2670</v>
      </c>
      <c r="R377" s="141"/>
    </row>
    <row r="378" spans="1:18" ht="30" outlineLevel="2" x14ac:dyDescent="0.2">
      <c r="A378" s="3" t="s">
        <v>24</v>
      </c>
      <c r="B378" s="2" t="s">
        <v>694</v>
      </c>
      <c r="C378" s="12" t="s">
        <v>42</v>
      </c>
      <c r="D378" s="2" t="s">
        <v>700</v>
      </c>
      <c r="E378" s="3" t="s">
        <v>29</v>
      </c>
      <c r="F378" s="2" t="s">
        <v>139</v>
      </c>
      <c r="G378" s="2" t="s">
        <v>696</v>
      </c>
      <c r="H378" s="3" t="s">
        <v>78</v>
      </c>
      <c r="I378" s="5">
        <v>13989208.130000001</v>
      </c>
      <c r="J378" s="5">
        <v>4002599.04</v>
      </c>
      <c r="K378" s="12">
        <v>29</v>
      </c>
      <c r="L378" s="5">
        <v>3001949.28</v>
      </c>
      <c r="M378" s="5">
        <v>3001949.28</v>
      </c>
      <c r="N378" s="5">
        <v>1000649.76</v>
      </c>
      <c r="O378" s="5">
        <f t="shared" si="17"/>
        <v>0</v>
      </c>
      <c r="P378" s="5"/>
      <c r="Q378" s="8" t="s">
        <v>2148</v>
      </c>
      <c r="R378" s="141"/>
    </row>
    <row r="379" spans="1:18" ht="45" outlineLevel="2" x14ac:dyDescent="0.2">
      <c r="A379" s="3" t="s">
        <v>24</v>
      </c>
      <c r="B379" s="2" t="s">
        <v>694</v>
      </c>
      <c r="C379" s="12" t="s">
        <v>42</v>
      </c>
      <c r="D379" s="2" t="s">
        <v>703</v>
      </c>
      <c r="E379" s="6" t="s">
        <v>29</v>
      </c>
      <c r="F379" s="2" t="s">
        <v>704</v>
      </c>
      <c r="G379" s="2" t="s">
        <v>696</v>
      </c>
      <c r="H379" s="3" t="s">
        <v>107</v>
      </c>
      <c r="I379" s="5">
        <v>29751123.739999998</v>
      </c>
      <c r="J379" s="5">
        <v>14603108.539999999</v>
      </c>
      <c r="K379" s="12">
        <v>49</v>
      </c>
      <c r="L379" s="5">
        <v>5670641.2000000002</v>
      </c>
      <c r="M379" s="5">
        <v>5670641.2000000002</v>
      </c>
      <c r="N379" s="5">
        <v>14603108.539999999</v>
      </c>
      <c r="O379" s="5">
        <f t="shared" si="17"/>
        <v>0</v>
      </c>
      <c r="P379" s="5"/>
      <c r="Q379" s="8" t="s">
        <v>2779</v>
      </c>
      <c r="R379" s="141"/>
    </row>
    <row r="380" spans="1:18" ht="30" outlineLevel="2" x14ac:dyDescent="0.2">
      <c r="A380" s="3" t="s">
        <v>24</v>
      </c>
      <c r="B380" s="2" t="s">
        <v>726</v>
      </c>
      <c r="C380" s="12" t="s">
        <v>42</v>
      </c>
      <c r="D380" s="2" t="s">
        <v>728</v>
      </c>
      <c r="E380" s="3" t="s">
        <v>29</v>
      </c>
      <c r="F380" s="2" t="s">
        <v>77</v>
      </c>
      <c r="G380" s="2" t="s">
        <v>727</v>
      </c>
      <c r="H380" s="3" t="s">
        <v>78</v>
      </c>
      <c r="I380" s="5">
        <v>32151943.829999998</v>
      </c>
      <c r="J380" s="5">
        <v>4913347.3</v>
      </c>
      <c r="K380" s="12">
        <v>15</v>
      </c>
      <c r="L380" s="5">
        <v>3377926.27</v>
      </c>
      <c r="M380" s="5">
        <v>3377926.27</v>
      </c>
      <c r="N380" s="5">
        <v>1535421.03</v>
      </c>
      <c r="O380" s="5">
        <f t="shared" si="17"/>
        <v>0</v>
      </c>
      <c r="P380" s="5"/>
      <c r="Q380" s="8" t="s">
        <v>2028</v>
      </c>
      <c r="R380" s="141"/>
    </row>
    <row r="381" spans="1:18" s="44" customFormat="1" ht="30" outlineLevel="2" x14ac:dyDescent="0.25">
      <c r="A381" s="3" t="s">
        <v>24</v>
      </c>
      <c r="B381" s="2" t="s">
        <v>742</v>
      </c>
      <c r="C381" s="12" t="s">
        <v>42</v>
      </c>
      <c r="D381" s="2" t="s">
        <v>745</v>
      </c>
      <c r="E381" s="3" t="s">
        <v>29</v>
      </c>
      <c r="F381" s="2" t="s">
        <v>139</v>
      </c>
      <c r="G381" s="2" t="s">
        <v>743</v>
      </c>
      <c r="H381" s="3" t="s">
        <v>78</v>
      </c>
      <c r="I381" s="5">
        <v>1669564.8</v>
      </c>
      <c r="J381" s="5">
        <v>521664</v>
      </c>
      <c r="K381" s="12">
        <v>31</v>
      </c>
      <c r="L381" s="5">
        <f>I381*40%</f>
        <v>667825.92000000004</v>
      </c>
      <c r="M381" s="5">
        <v>521664</v>
      </c>
      <c r="N381" s="5"/>
      <c r="O381" s="5">
        <f t="shared" si="17"/>
        <v>146161.92000000004</v>
      </c>
      <c r="P381" s="5"/>
      <c r="Q381" s="39" t="s">
        <v>2938</v>
      </c>
      <c r="R381" s="142"/>
    </row>
    <row r="382" spans="1:18" ht="45" outlineLevel="2" x14ac:dyDescent="0.2">
      <c r="A382" s="3" t="s">
        <v>24</v>
      </c>
      <c r="B382" s="2" t="s">
        <v>751</v>
      </c>
      <c r="C382" s="12" t="s">
        <v>42</v>
      </c>
      <c r="D382" s="2" t="s">
        <v>754</v>
      </c>
      <c r="E382" s="3" t="s">
        <v>29</v>
      </c>
      <c r="F382" s="2" t="s">
        <v>77</v>
      </c>
      <c r="G382" s="2" t="s">
        <v>755</v>
      </c>
      <c r="H382" s="3" t="s">
        <v>78</v>
      </c>
      <c r="I382" s="5">
        <v>241374735.59999999</v>
      </c>
      <c r="J382" s="5">
        <v>21749745.600000001</v>
      </c>
      <c r="K382" s="12">
        <v>9</v>
      </c>
      <c r="L382" s="5">
        <v>16312309.199999999</v>
      </c>
      <c r="M382" s="5">
        <v>16312309.199999999</v>
      </c>
      <c r="N382" s="5">
        <v>5437436.4000000004</v>
      </c>
      <c r="O382" s="5">
        <f t="shared" si="17"/>
        <v>0</v>
      </c>
      <c r="P382" s="5"/>
      <c r="Q382" s="8" t="s">
        <v>2149</v>
      </c>
      <c r="R382" s="141"/>
    </row>
    <row r="383" spans="1:18" ht="45" outlineLevel="2" x14ac:dyDescent="0.2">
      <c r="A383" s="3" t="s">
        <v>24</v>
      </c>
      <c r="B383" s="2" t="s">
        <v>751</v>
      </c>
      <c r="C383" s="12" t="s">
        <v>42</v>
      </c>
      <c r="D383" s="2" t="s">
        <v>754</v>
      </c>
      <c r="E383" s="3" t="s">
        <v>29</v>
      </c>
      <c r="F383" s="2" t="s">
        <v>756</v>
      </c>
      <c r="G383" s="2" t="s">
        <v>755</v>
      </c>
      <c r="H383" s="3" t="s">
        <v>34</v>
      </c>
      <c r="I383" s="5">
        <v>241374735.59999999</v>
      </c>
      <c r="J383" s="5">
        <v>63916741.439999998</v>
      </c>
      <c r="K383" s="12">
        <v>26</v>
      </c>
      <c r="L383" s="5">
        <v>31958370.719999999</v>
      </c>
      <c r="M383" s="5">
        <v>31958370.719999999</v>
      </c>
      <c r="N383" s="5">
        <v>31958370.719999999</v>
      </c>
      <c r="O383" s="5">
        <f t="shared" si="17"/>
        <v>0</v>
      </c>
      <c r="P383" s="5"/>
      <c r="Q383" s="8" t="s">
        <v>2150</v>
      </c>
      <c r="R383" s="141"/>
    </row>
    <row r="384" spans="1:18" ht="30" outlineLevel="2" x14ac:dyDescent="0.2">
      <c r="A384" s="3" t="s">
        <v>24</v>
      </c>
      <c r="B384" s="2" t="s">
        <v>777</v>
      </c>
      <c r="C384" s="12" t="s">
        <v>42</v>
      </c>
      <c r="D384" s="2" t="s">
        <v>784</v>
      </c>
      <c r="E384" s="3" t="s">
        <v>29</v>
      </c>
      <c r="F384" s="2" t="s">
        <v>290</v>
      </c>
      <c r="G384" s="2" t="s">
        <v>785</v>
      </c>
      <c r="H384" s="3" t="s">
        <v>78</v>
      </c>
      <c r="I384" s="5">
        <v>590863696.27999997</v>
      </c>
      <c r="J384" s="5">
        <v>113142323.18000001</v>
      </c>
      <c r="K384" s="12">
        <v>19</v>
      </c>
      <c r="L384" s="5">
        <f>I384*40%</f>
        <v>236345478.51199999</v>
      </c>
      <c r="M384" s="5">
        <v>85054515.540000007</v>
      </c>
      <c r="N384" s="5">
        <v>28087807.640000001</v>
      </c>
      <c r="O384" s="5">
        <f t="shared" si="17"/>
        <v>151290962.972</v>
      </c>
      <c r="P384" s="5"/>
      <c r="Q384" s="8" t="s">
        <v>2671</v>
      </c>
      <c r="R384" s="141"/>
    </row>
    <row r="385" spans="1:18" ht="30" outlineLevel="2" x14ac:dyDescent="0.2">
      <c r="A385" s="3" t="s">
        <v>24</v>
      </c>
      <c r="B385" s="2" t="s">
        <v>793</v>
      </c>
      <c r="C385" s="12" t="s">
        <v>42</v>
      </c>
      <c r="D385" s="2" t="s">
        <v>796</v>
      </c>
      <c r="E385" s="3" t="s">
        <v>29</v>
      </c>
      <c r="F385" s="2" t="s">
        <v>139</v>
      </c>
      <c r="G385" s="2" t="s">
        <v>229</v>
      </c>
      <c r="H385" s="3" t="s">
        <v>78</v>
      </c>
      <c r="I385" s="5">
        <v>516582554.99000001</v>
      </c>
      <c r="J385" s="5">
        <v>47983370.689999998</v>
      </c>
      <c r="K385" s="12">
        <v>9</v>
      </c>
      <c r="L385" s="5">
        <v>35987528.020000003</v>
      </c>
      <c r="M385" s="5">
        <v>35987528.020000003</v>
      </c>
      <c r="N385" s="5">
        <v>11995842.67</v>
      </c>
      <c r="O385" s="5">
        <f t="shared" si="17"/>
        <v>0</v>
      </c>
      <c r="P385" s="5"/>
      <c r="Q385" s="8" t="s">
        <v>2029</v>
      </c>
      <c r="R385" s="141"/>
    </row>
    <row r="386" spans="1:18" ht="30" outlineLevel="2" x14ac:dyDescent="0.2">
      <c r="A386" s="3" t="s">
        <v>24</v>
      </c>
      <c r="B386" s="2" t="s">
        <v>793</v>
      </c>
      <c r="C386" s="12" t="s">
        <v>42</v>
      </c>
      <c r="D386" s="2" t="s">
        <v>796</v>
      </c>
      <c r="E386" s="3" t="s">
        <v>29</v>
      </c>
      <c r="F386" s="2" t="s">
        <v>797</v>
      </c>
      <c r="G386" s="2" t="s">
        <v>229</v>
      </c>
      <c r="H386" s="3" t="s">
        <v>34</v>
      </c>
      <c r="I386" s="5">
        <v>516582554.99000001</v>
      </c>
      <c r="J386" s="5">
        <v>136247762.19</v>
      </c>
      <c r="K386" s="12">
        <v>26</v>
      </c>
      <c r="L386" s="5">
        <v>68123881.099999994</v>
      </c>
      <c r="M386" s="5">
        <v>68123881.099999994</v>
      </c>
      <c r="N386" s="5">
        <v>68123881.090000004</v>
      </c>
      <c r="O386" s="5">
        <f t="shared" si="17"/>
        <v>0</v>
      </c>
      <c r="P386" s="5"/>
      <c r="Q386" s="8" t="s">
        <v>2030</v>
      </c>
      <c r="R386" s="141"/>
    </row>
    <row r="387" spans="1:18" ht="45" outlineLevel="2" x14ac:dyDescent="0.2">
      <c r="A387" s="3" t="s">
        <v>24</v>
      </c>
      <c r="B387" s="2" t="s">
        <v>812</v>
      </c>
      <c r="C387" s="12" t="s">
        <v>42</v>
      </c>
      <c r="D387" s="2" t="s">
        <v>813</v>
      </c>
      <c r="E387" s="3" t="s">
        <v>29</v>
      </c>
      <c r="F387" s="2" t="s">
        <v>139</v>
      </c>
      <c r="G387" s="2" t="s">
        <v>464</v>
      </c>
      <c r="H387" s="3" t="s">
        <v>78</v>
      </c>
      <c r="I387" s="5">
        <v>170564688.62</v>
      </c>
      <c r="J387" s="5">
        <v>45574680.219999999</v>
      </c>
      <c r="K387" s="12">
        <v>27</v>
      </c>
      <c r="L387" s="5">
        <v>3063436.45</v>
      </c>
      <c r="M387" s="5">
        <v>3063436.45</v>
      </c>
      <c r="N387" s="5">
        <v>42511243.770000003</v>
      </c>
      <c r="O387" s="5">
        <f t="shared" si="17"/>
        <v>0</v>
      </c>
      <c r="P387" s="5"/>
      <c r="Q387" s="8" t="s">
        <v>2472</v>
      </c>
      <c r="R387" s="141"/>
    </row>
    <row r="388" spans="1:18" ht="30" outlineLevel="2" x14ac:dyDescent="0.2">
      <c r="A388" s="3" t="s">
        <v>24</v>
      </c>
      <c r="B388" s="2" t="s">
        <v>818</v>
      </c>
      <c r="C388" s="12" t="s">
        <v>42</v>
      </c>
      <c r="D388" s="2" t="s">
        <v>820</v>
      </c>
      <c r="E388" s="3" t="s">
        <v>29</v>
      </c>
      <c r="F388" s="2" t="s">
        <v>139</v>
      </c>
      <c r="G388" s="2" t="s">
        <v>821</v>
      </c>
      <c r="H388" s="3" t="s">
        <v>78</v>
      </c>
      <c r="I388" s="5">
        <v>44914962.840000004</v>
      </c>
      <c r="J388" s="5">
        <v>6055837.9199999999</v>
      </c>
      <c r="K388" s="12">
        <v>13</v>
      </c>
      <c r="L388" s="5">
        <f>I388*40%</f>
        <v>17965985.136000004</v>
      </c>
      <c r="M388" s="5">
        <v>6055837.9199999999</v>
      </c>
      <c r="N388" s="5"/>
      <c r="O388" s="5">
        <f t="shared" si="17"/>
        <v>11910147.216000004</v>
      </c>
      <c r="P388" s="5"/>
      <c r="Q388" s="39"/>
      <c r="R388" s="141"/>
    </row>
    <row r="389" spans="1:18" ht="30" outlineLevel="2" x14ac:dyDescent="0.2">
      <c r="A389" s="3" t="s">
        <v>24</v>
      </c>
      <c r="B389" s="2" t="s">
        <v>861</v>
      </c>
      <c r="C389" s="12" t="s">
        <v>42</v>
      </c>
      <c r="D389" s="2" t="s">
        <v>862</v>
      </c>
      <c r="E389" s="3" t="s">
        <v>29</v>
      </c>
      <c r="F389" s="2" t="s">
        <v>139</v>
      </c>
      <c r="G389" s="2" t="s">
        <v>863</v>
      </c>
      <c r="H389" s="3" t="s">
        <v>78</v>
      </c>
      <c r="I389" s="5">
        <v>138099095.03999999</v>
      </c>
      <c r="J389" s="5">
        <v>35376000</v>
      </c>
      <c r="K389" s="12">
        <v>26</v>
      </c>
      <c r="L389" s="5">
        <f>I389*40%</f>
        <v>55239638.016000003</v>
      </c>
      <c r="M389" s="5">
        <v>20687266.780000001</v>
      </c>
      <c r="N389" s="5">
        <v>14688733.220000001</v>
      </c>
      <c r="O389" s="5">
        <f t="shared" si="17"/>
        <v>34552371.236000001</v>
      </c>
      <c r="P389" s="5"/>
      <c r="Q389" s="39" t="s">
        <v>2939</v>
      </c>
      <c r="R389" s="141"/>
    </row>
    <row r="390" spans="1:18" ht="30" outlineLevel="2" x14ac:dyDescent="0.2">
      <c r="A390" s="3" t="s">
        <v>24</v>
      </c>
      <c r="B390" s="2" t="s">
        <v>861</v>
      </c>
      <c r="C390" s="12" t="s">
        <v>42</v>
      </c>
      <c r="D390" s="2" t="s">
        <v>864</v>
      </c>
      <c r="E390" s="3" t="s">
        <v>29</v>
      </c>
      <c r="F390" s="2" t="s">
        <v>606</v>
      </c>
      <c r="G390" s="2" t="s">
        <v>853</v>
      </c>
      <c r="H390" s="3" t="s">
        <v>34</v>
      </c>
      <c r="I390" s="5">
        <v>226449371.03</v>
      </c>
      <c r="J390" s="5">
        <v>115096429.94</v>
      </c>
      <c r="K390" s="12">
        <v>51</v>
      </c>
      <c r="L390" s="5">
        <f>I390*40%</f>
        <v>90579748.412</v>
      </c>
      <c r="M390" s="5">
        <v>57548214.850000001</v>
      </c>
      <c r="N390" s="5">
        <v>57548215.090000004</v>
      </c>
      <c r="O390" s="5">
        <f t="shared" si="17"/>
        <v>33031533.561999999</v>
      </c>
      <c r="P390" s="5"/>
      <c r="Q390" s="39" t="s">
        <v>2940</v>
      </c>
      <c r="R390" s="141"/>
    </row>
    <row r="391" spans="1:18" s="44" customFormat="1" ht="30" outlineLevel="2" x14ac:dyDescent="0.25">
      <c r="A391" s="12" t="s">
        <v>24</v>
      </c>
      <c r="B391" s="39" t="s">
        <v>888</v>
      </c>
      <c r="C391" s="12" t="s">
        <v>42</v>
      </c>
      <c r="D391" s="39" t="s">
        <v>889</v>
      </c>
      <c r="E391" s="12" t="s">
        <v>29</v>
      </c>
      <c r="F391" s="39" t="s">
        <v>199</v>
      </c>
      <c r="G391" s="39" t="s">
        <v>890</v>
      </c>
      <c r="H391" s="12" t="s">
        <v>78</v>
      </c>
      <c r="I391" s="57">
        <v>4294860</v>
      </c>
      <c r="J391" s="57">
        <v>1197936</v>
      </c>
      <c r="K391" s="12">
        <v>28</v>
      </c>
      <c r="L391" s="57">
        <v>1197936</v>
      </c>
      <c r="M391" s="57">
        <v>1197936</v>
      </c>
      <c r="N391" s="57"/>
      <c r="O391" s="5">
        <f t="shared" si="17"/>
        <v>0</v>
      </c>
      <c r="P391" s="57"/>
      <c r="Q391" s="8" t="s">
        <v>2151</v>
      </c>
      <c r="R391" s="142"/>
    </row>
    <row r="392" spans="1:18" ht="45" outlineLevel="2" x14ac:dyDescent="0.2">
      <c r="A392" s="3" t="s">
        <v>24</v>
      </c>
      <c r="B392" s="2" t="s">
        <v>905</v>
      </c>
      <c r="C392" s="12" t="s">
        <v>42</v>
      </c>
      <c r="D392" s="2" t="s">
        <v>907</v>
      </c>
      <c r="E392" s="3" t="s">
        <v>29</v>
      </c>
      <c r="F392" s="2" t="s">
        <v>209</v>
      </c>
      <c r="G392" s="2" t="s">
        <v>906</v>
      </c>
      <c r="H392" s="3" t="s">
        <v>34</v>
      </c>
      <c r="I392" s="5">
        <v>2161860877.9299998</v>
      </c>
      <c r="J392" s="5">
        <v>562709977.77999997</v>
      </c>
      <c r="K392" s="12">
        <v>26</v>
      </c>
      <c r="L392" s="5">
        <v>281378741.89999998</v>
      </c>
      <c r="M392" s="5">
        <v>281378741.89999998</v>
      </c>
      <c r="N392" s="5">
        <v>281331235.88</v>
      </c>
      <c r="O392" s="5">
        <f t="shared" si="17"/>
        <v>0</v>
      </c>
      <c r="P392" s="5" t="s">
        <v>2031</v>
      </c>
      <c r="Q392" s="8" t="s">
        <v>1975</v>
      </c>
      <c r="R392" s="141"/>
    </row>
    <row r="393" spans="1:18" s="44" customFormat="1" ht="45" outlineLevel="2" x14ac:dyDescent="0.25">
      <c r="A393" s="3" t="s">
        <v>24</v>
      </c>
      <c r="B393" s="2" t="s">
        <v>905</v>
      </c>
      <c r="C393" s="12" t="s">
        <v>42</v>
      </c>
      <c r="D393" s="2" t="s">
        <v>907</v>
      </c>
      <c r="E393" s="3" t="s">
        <v>29</v>
      </c>
      <c r="F393" s="2" t="s">
        <v>139</v>
      </c>
      <c r="G393" s="2" t="s">
        <v>906</v>
      </c>
      <c r="H393" s="3" t="s">
        <v>78</v>
      </c>
      <c r="I393" s="5">
        <v>2161860877.9299998</v>
      </c>
      <c r="J393" s="5">
        <v>202281366.68000001</v>
      </c>
      <c r="K393" s="12">
        <v>9</v>
      </c>
      <c r="L393" s="5">
        <v>126425854.18000001</v>
      </c>
      <c r="M393" s="5">
        <v>126425854.18000001</v>
      </c>
      <c r="N393" s="5">
        <v>75855512.5</v>
      </c>
      <c r="O393" s="5">
        <f t="shared" si="17"/>
        <v>0</v>
      </c>
      <c r="P393" s="5" t="s">
        <v>2031</v>
      </c>
      <c r="Q393" s="8" t="s">
        <v>2032</v>
      </c>
      <c r="R393" s="142"/>
    </row>
    <row r="394" spans="1:18" s="44" customFormat="1" ht="45" outlineLevel="2" x14ac:dyDescent="0.25">
      <c r="A394" s="3" t="s">
        <v>24</v>
      </c>
      <c r="B394" s="2" t="s">
        <v>905</v>
      </c>
      <c r="C394" s="12" t="s">
        <v>42</v>
      </c>
      <c r="D394" s="2" t="s">
        <v>908</v>
      </c>
      <c r="E394" s="3" t="s">
        <v>29</v>
      </c>
      <c r="F394" s="2" t="s">
        <v>139</v>
      </c>
      <c r="G394" s="2" t="s">
        <v>906</v>
      </c>
      <c r="H394" s="3" t="s">
        <v>78</v>
      </c>
      <c r="I394" s="5">
        <v>9254247.5099999998</v>
      </c>
      <c r="J394" s="5">
        <v>861197.94</v>
      </c>
      <c r="K394" s="12">
        <v>9</v>
      </c>
      <c r="L394" s="62">
        <v>645898.46</v>
      </c>
      <c r="M394" s="5">
        <v>645898.46</v>
      </c>
      <c r="N394" s="5">
        <v>215299.48</v>
      </c>
      <c r="O394" s="5">
        <f t="shared" si="17"/>
        <v>0</v>
      </c>
      <c r="P394" s="5" t="s">
        <v>2031</v>
      </c>
      <c r="Q394" s="8" t="s">
        <v>2027</v>
      </c>
      <c r="R394" s="142"/>
    </row>
    <row r="395" spans="1:18" s="44" customFormat="1" ht="45" outlineLevel="2" x14ac:dyDescent="0.25">
      <c r="A395" s="3" t="s">
        <v>24</v>
      </c>
      <c r="B395" s="2" t="s">
        <v>905</v>
      </c>
      <c r="C395" s="12" t="s">
        <v>42</v>
      </c>
      <c r="D395" s="2" t="s">
        <v>908</v>
      </c>
      <c r="E395" s="3" t="s">
        <v>29</v>
      </c>
      <c r="F395" s="2" t="s">
        <v>140</v>
      </c>
      <c r="G395" s="2" t="s">
        <v>906</v>
      </c>
      <c r="H395" s="3" t="s">
        <v>34</v>
      </c>
      <c r="I395" s="5">
        <v>9254247.5099999998</v>
      </c>
      <c r="J395" s="5">
        <v>2395697.9900000002</v>
      </c>
      <c r="K395" s="12">
        <v>26</v>
      </c>
      <c r="L395" s="5">
        <v>1197849</v>
      </c>
      <c r="M395" s="5">
        <v>1197849</v>
      </c>
      <c r="N395" s="5">
        <v>1197848.99</v>
      </c>
      <c r="O395" s="5">
        <f t="shared" si="17"/>
        <v>0</v>
      </c>
      <c r="P395" s="5" t="s">
        <v>2031</v>
      </c>
      <c r="Q395" s="8" t="s">
        <v>1975</v>
      </c>
      <c r="R395" s="142"/>
    </row>
    <row r="396" spans="1:18" s="44" customFormat="1" ht="45" outlineLevel="2" x14ac:dyDescent="0.25">
      <c r="A396" s="3" t="s">
        <v>24</v>
      </c>
      <c r="B396" s="2" t="s">
        <v>936</v>
      </c>
      <c r="C396" s="12" t="s">
        <v>42</v>
      </c>
      <c r="D396" s="2" t="s">
        <v>938</v>
      </c>
      <c r="E396" s="3" t="s">
        <v>29</v>
      </c>
      <c r="F396" s="2" t="s">
        <v>139</v>
      </c>
      <c r="G396" s="2" t="s">
        <v>937</v>
      </c>
      <c r="H396" s="3" t="s">
        <v>78</v>
      </c>
      <c r="I396" s="5">
        <v>11666376</v>
      </c>
      <c r="J396" s="5">
        <v>1688280</v>
      </c>
      <c r="K396" s="12">
        <v>14</v>
      </c>
      <c r="L396" s="5">
        <f>I396*40%</f>
        <v>4666550.4000000004</v>
      </c>
      <c r="M396" s="5">
        <v>1688280</v>
      </c>
      <c r="N396" s="5"/>
      <c r="O396" s="5">
        <f t="shared" si="17"/>
        <v>2978270.4000000004</v>
      </c>
      <c r="P396" s="5" t="s">
        <v>2044</v>
      </c>
      <c r="Q396" s="8" t="s">
        <v>2152</v>
      </c>
      <c r="R396" s="142"/>
    </row>
    <row r="397" spans="1:18" s="44" customFormat="1" ht="30" outlineLevel="2" x14ac:dyDescent="0.25">
      <c r="A397" s="3" t="s">
        <v>24</v>
      </c>
      <c r="B397" s="2" t="s">
        <v>955</v>
      </c>
      <c r="C397" s="12" t="s">
        <v>42</v>
      </c>
      <c r="D397" s="2" t="s">
        <v>957</v>
      </c>
      <c r="E397" s="3" t="s">
        <v>29</v>
      </c>
      <c r="F397" s="2" t="s">
        <v>139</v>
      </c>
      <c r="G397" s="2" t="s">
        <v>956</v>
      </c>
      <c r="H397" s="3" t="s">
        <v>78</v>
      </c>
      <c r="I397" s="5">
        <v>14064576</v>
      </c>
      <c r="J397" s="5">
        <v>2026041.6</v>
      </c>
      <c r="K397" s="12">
        <v>14</v>
      </c>
      <c r="L397" s="5">
        <v>2026041.6</v>
      </c>
      <c r="M397" s="5">
        <v>2026041.6</v>
      </c>
      <c r="N397" s="5"/>
      <c r="O397" s="5">
        <f t="shared" si="17"/>
        <v>0</v>
      </c>
      <c r="P397" s="5"/>
      <c r="Q397" s="8" t="s">
        <v>1979</v>
      </c>
      <c r="R397" s="142"/>
    </row>
    <row r="398" spans="1:18" s="44" customFormat="1" ht="45" outlineLevel="2" x14ac:dyDescent="0.25">
      <c r="A398" s="3" t="s">
        <v>24</v>
      </c>
      <c r="B398" s="2" t="s">
        <v>955</v>
      </c>
      <c r="C398" s="12" t="s">
        <v>42</v>
      </c>
      <c r="D398" s="2" t="s">
        <v>961</v>
      </c>
      <c r="E398" s="3" t="s">
        <v>29</v>
      </c>
      <c r="F398" s="2" t="s">
        <v>962</v>
      </c>
      <c r="G398" s="2" t="s">
        <v>963</v>
      </c>
      <c r="H398" s="3" t="s">
        <v>107</v>
      </c>
      <c r="I398" s="5">
        <v>7397665.2000000002</v>
      </c>
      <c r="J398" s="5">
        <v>5918132.1600000001</v>
      </c>
      <c r="K398" s="12">
        <v>80</v>
      </c>
      <c r="L398" s="5">
        <f>I398*40%</f>
        <v>2959066.08</v>
      </c>
      <c r="M398" s="5">
        <v>1321816.32</v>
      </c>
      <c r="N398" s="5">
        <v>4596315.84</v>
      </c>
      <c r="O398" s="5">
        <f t="shared" si="17"/>
        <v>1637249.76</v>
      </c>
      <c r="P398" s="5"/>
      <c r="Q398" s="39" t="s">
        <v>2941</v>
      </c>
      <c r="R398" s="142"/>
    </row>
    <row r="399" spans="1:18" s="44" customFormat="1" ht="30" outlineLevel="2" x14ac:dyDescent="0.25">
      <c r="A399" s="3" t="s">
        <v>24</v>
      </c>
      <c r="B399" s="2" t="s">
        <v>976</v>
      </c>
      <c r="C399" s="12" t="s">
        <v>42</v>
      </c>
      <c r="D399" s="2" t="s">
        <v>979</v>
      </c>
      <c r="E399" s="3" t="s">
        <v>29</v>
      </c>
      <c r="F399" s="2" t="s">
        <v>193</v>
      </c>
      <c r="G399" s="2" t="s">
        <v>977</v>
      </c>
      <c r="H399" s="3" t="s">
        <v>107</v>
      </c>
      <c r="I399" s="5">
        <v>1723750</v>
      </c>
      <c r="J399" s="5">
        <v>1723750</v>
      </c>
      <c r="K399" s="12">
        <v>100</v>
      </c>
      <c r="L399" s="5">
        <v>1723750</v>
      </c>
      <c r="M399" s="5">
        <v>1723750</v>
      </c>
      <c r="N399" s="5"/>
      <c r="O399" s="5">
        <f t="shared" si="17"/>
        <v>0</v>
      </c>
      <c r="P399" s="5"/>
      <c r="Q399" s="8" t="s">
        <v>2033</v>
      </c>
      <c r="R399" s="142"/>
    </row>
    <row r="400" spans="1:18" s="44" customFormat="1" ht="30" outlineLevel="2" x14ac:dyDescent="0.25">
      <c r="A400" s="3" t="s">
        <v>24</v>
      </c>
      <c r="B400" s="2" t="s">
        <v>990</v>
      </c>
      <c r="C400" s="12" t="s">
        <v>42</v>
      </c>
      <c r="D400" s="2" t="s">
        <v>991</v>
      </c>
      <c r="E400" s="3" t="s">
        <v>29</v>
      </c>
      <c r="F400" s="2" t="s">
        <v>139</v>
      </c>
      <c r="G400" s="2" t="s">
        <v>992</v>
      </c>
      <c r="H400" s="3" t="s">
        <v>78</v>
      </c>
      <c r="I400" s="5">
        <v>370506.78</v>
      </c>
      <c r="J400" s="5">
        <v>103903.01</v>
      </c>
      <c r="K400" s="12">
        <v>28</v>
      </c>
      <c r="L400" s="5">
        <f>I400*40%</f>
        <v>148202.71200000003</v>
      </c>
      <c r="M400" s="5"/>
      <c r="N400" s="5">
        <v>103903.01</v>
      </c>
      <c r="O400" s="5">
        <f t="shared" si="17"/>
        <v>148202.71200000003</v>
      </c>
      <c r="P400" s="5"/>
      <c r="Q400" s="8" t="s">
        <v>2153</v>
      </c>
      <c r="R400" s="142"/>
    </row>
    <row r="401" spans="1:18" s="44" customFormat="1" ht="45" outlineLevel="2" x14ac:dyDescent="0.25">
      <c r="A401" s="3" t="s">
        <v>24</v>
      </c>
      <c r="B401" s="2" t="s">
        <v>1021</v>
      </c>
      <c r="C401" s="12" t="s">
        <v>42</v>
      </c>
      <c r="D401" s="2" t="s">
        <v>1026</v>
      </c>
      <c r="E401" s="3" t="s">
        <v>29</v>
      </c>
      <c r="F401" s="2" t="s">
        <v>732</v>
      </c>
      <c r="G401" s="2" t="s">
        <v>692</v>
      </c>
      <c r="H401" s="3" t="s">
        <v>34</v>
      </c>
      <c r="I401" s="5">
        <v>4596088.8</v>
      </c>
      <c r="J401" s="5">
        <v>2855640.96</v>
      </c>
      <c r="K401" s="12">
        <v>62</v>
      </c>
      <c r="L401" s="5">
        <f>I401*40%</f>
        <v>1838435.52</v>
      </c>
      <c r="M401" s="5">
        <v>1427820.48</v>
      </c>
      <c r="N401" s="5">
        <v>1427820.48</v>
      </c>
      <c r="O401" s="5">
        <f t="shared" si="17"/>
        <v>410615.04000000004</v>
      </c>
      <c r="P401" s="5"/>
      <c r="Q401" s="8" t="s">
        <v>2672</v>
      </c>
      <c r="R401" s="142"/>
    </row>
    <row r="402" spans="1:18" ht="45" outlineLevel="2" x14ac:dyDescent="0.2">
      <c r="A402" s="3" t="s">
        <v>24</v>
      </c>
      <c r="B402" s="2" t="s">
        <v>1030</v>
      </c>
      <c r="C402" s="12" t="s">
        <v>42</v>
      </c>
      <c r="D402" s="2" t="s">
        <v>1036</v>
      </c>
      <c r="E402" s="3" t="s">
        <v>29</v>
      </c>
      <c r="F402" s="2" t="s">
        <v>77</v>
      </c>
      <c r="G402" s="2" t="s">
        <v>1035</v>
      </c>
      <c r="H402" s="3" t="s">
        <v>78</v>
      </c>
      <c r="I402" s="5">
        <v>1554389502.55</v>
      </c>
      <c r="J402" s="5">
        <v>158798801.03999999</v>
      </c>
      <c r="K402" s="12">
        <v>10</v>
      </c>
      <c r="L402" s="5">
        <v>104319354.33</v>
      </c>
      <c r="M402" s="5">
        <v>104319354.33</v>
      </c>
      <c r="N402" s="5">
        <v>54479446.710000001</v>
      </c>
      <c r="O402" s="5">
        <f t="shared" si="17"/>
        <v>0</v>
      </c>
      <c r="P402" s="5"/>
      <c r="Q402" s="8" t="s">
        <v>2673</v>
      </c>
      <c r="R402" s="141"/>
    </row>
    <row r="403" spans="1:18" s="44" customFormat="1" ht="45" outlineLevel="2" x14ac:dyDescent="0.25">
      <c r="A403" s="3" t="s">
        <v>24</v>
      </c>
      <c r="B403" s="2" t="s">
        <v>1030</v>
      </c>
      <c r="C403" s="12" t="s">
        <v>42</v>
      </c>
      <c r="D403" s="2" t="s">
        <v>1036</v>
      </c>
      <c r="E403" s="3" t="s">
        <v>29</v>
      </c>
      <c r="F403" s="2" t="s">
        <v>140</v>
      </c>
      <c r="G403" s="2" t="s">
        <v>1035</v>
      </c>
      <c r="H403" s="3" t="s">
        <v>34</v>
      </c>
      <c r="I403" s="5">
        <v>1554389502.55</v>
      </c>
      <c r="J403" s="5">
        <v>382640336.98000002</v>
      </c>
      <c r="K403" s="12">
        <v>25</v>
      </c>
      <c r="L403" s="5">
        <v>191320168.49000001</v>
      </c>
      <c r="M403" s="5">
        <v>191320168.49000001</v>
      </c>
      <c r="N403" s="5">
        <v>191320168.49000001</v>
      </c>
      <c r="O403" s="5">
        <f t="shared" si="17"/>
        <v>0</v>
      </c>
      <c r="P403" s="5" t="s">
        <v>2044</v>
      </c>
      <c r="Q403" s="8" t="s">
        <v>2030</v>
      </c>
      <c r="R403" s="142"/>
    </row>
    <row r="404" spans="1:18" s="44" customFormat="1" ht="30" outlineLevel="2" x14ac:dyDescent="0.25">
      <c r="A404" s="3" t="s">
        <v>24</v>
      </c>
      <c r="B404" s="2" t="s">
        <v>1061</v>
      </c>
      <c r="C404" s="12" t="s">
        <v>42</v>
      </c>
      <c r="D404" s="2" t="s">
        <v>1064</v>
      </c>
      <c r="E404" s="3" t="s">
        <v>29</v>
      </c>
      <c r="F404" s="2" t="s">
        <v>781</v>
      </c>
      <c r="G404" s="2" t="s">
        <v>1062</v>
      </c>
      <c r="H404" s="3" t="s">
        <v>386</v>
      </c>
      <c r="I404" s="5">
        <v>1714099.2</v>
      </c>
      <c r="J404" s="5">
        <v>1142169.6000000001</v>
      </c>
      <c r="K404" s="12">
        <v>67</v>
      </c>
      <c r="L404" s="5">
        <f>I404*40%</f>
        <v>685639.68000000005</v>
      </c>
      <c r="M404" s="5">
        <v>571084.80000000005</v>
      </c>
      <c r="N404" s="5">
        <v>571084.80000000005</v>
      </c>
      <c r="O404" s="5">
        <f t="shared" si="17"/>
        <v>114554.88</v>
      </c>
      <c r="P404" s="5"/>
      <c r="Q404" s="8" t="s">
        <v>2034</v>
      </c>
      <c r="R404" s="142"/>
    </row>
    <row r="405" spans="1:18" ht="30" outlineLevel="2" x14ac:dyDescent="0.2">
      <c r="A405" s="3" t="s">
        <v>24</v>
      </c>
      <c r="B405" s="2" t="s">
        <v>1068</v>
      </c>
      <c r="C405" s="12" t="s">
        <v>42</v>
      </c>
      <c r="D405" s="2" t="s">
        <v>1069</v>
      </c>
      <c r="E405" s="3" t="s">
        <v>29</v>
      </c>
      <c r="F405" s="2" t="s">
        <v>139</v>
      </c>
      <c r="G405" s="2" t="s">
        <v>1070</v>
      </c>
      <c r="H405" s="3" t="s">
        <v>78</v>
      </c>
      <c r="I405" s="5">
        <v>69454032.390000001</v>
      </c>
      <c r="J405" s="5">
        <v>5774841.5999999996</v>
      </c>
      <c r="K405" s="12">
        <v>8</v>
      </c>
      <c r="L405" s="5">
        <v>5774841.5999999996</v>
      </c>
      <c r="M405" s="5">
        <v>5774841.5999999996</v>
      </c>
      <c r="N405" s="5"/>
      <c r="O405" s="5">
        <f t="shared" si="17"/>
        <v>0</v>
      </c>
      <c r="P405" s="5"/>
      <c r="Q405" s="8" t="s">
        <v>2674</v>
      </c>
      <c r="R405" s="141"/>
    </row>
    <row r="406" spans="1:18" s="44" customFormat="1" ht="30" outlineLevel="2" x14ac:dyDescent="0.25">
      <c r="A406" s="3" t="s">
        <v>24</v>
      </c>
      <c r="B406" s="2" t="s">
        <v>1068</v>
      </c>
      <c r="C406" s="12" t="s">
        <v>42</v>
      </c>
      <c r="D406" s="2" t="s">
        <v>1069</v>
      </c>
      <c r="E406" s="3" t="s">
        <v>29</v>
      </c>
      <c r="F406" s="2" t="s">
        <v>1071</v>
      </c>
      <c r="G406" s="2" t="s">
        <v>1070</v>
      </c>
      <c r="H406" s="3" t="s">
        <v>34</v>
      </c>
      <c r="I406" s="5">
        <v>69454032.390000001</v>
      </c>
      <c r="J406" s="5">
        <v>24829198.629999999</v>
      </c>
      <c r="K406" s="12">
        <v>36</v>
      </c>
      <c r="L406" s="5">
        <v>12414599.32</v>
      </c>
      <c r="M406" s="5">
        <v>12414599.32</v>
      </c>
      <c r="N406" s="5">
        <v>12414599.310000001</v>
      </c>
      <c r="O406" s="5">
        <f t="shared" si="17"/>
        <v>0</v>
      </c>
      <c r="P406" s="5"/>
      <c r="Q406" s="8" t="s">
        <v>2675</v>
      </c>
      <c r="R406" s="142"/>
    </row>
    <row r="407" spans="1:18" ht="30" outlineLevel="2" x14ac:dyDescent="0.2">
      <c r="A407" s="3" t="s">
        <v>24</v>
      </c>
      <c r="B407" s="2" t="s">
        <v>1068</v>
      </c>
      <c r="C407" s="12" t="s">
        <v>42</v>
      </c>
      <c r="D407" s="2" t="s">
        <v>1072</v>
      </c>
      <c r="E407" s="3" t="s">
        <v>29</v>
      </c>
      <c r="F407" s="2" t="s">
        <v>139</v>
      </c>
      <c r="G407" s="2" t="s">
        <v>1073</v>
      </c>
      <c r="H407" s="3" t="s">
        <v>78</v>
      </c>
      <c r="I407" s="5">
        <v>2833671388.4400001</v>
      </c>
      <c r="J407" s="5">
        <v>272566169.92000002</v>
      </c>
      <c r="K407" s="12">
        <v>10</v>
      </c>
      <c r="L407" s="5">
        <v>272566169.92000002</v>
      </c>
      <c r="M407" s="5">
        <v>272566169.92000002</v>
      </c>
      <c r="N407" s="5"/>
      <c r="O407" s="5">
        <f t="shared" si="17"/>
        <v>0</v>
      </c>
      <c r="P407" s="5"/>
      <c r="Q407" s="8" t="s">
        <v>2674</v>
      </c>
      <c r="R407" s="141"/>
    </row>
    <row r="408" spans="1:18" s="44" customFormat="1" ht="30" outlineLevel="2" x14ac:dyDescent="0.25">
      <c r="A408" s="3" t="s">
        <v>24</v>
      </c>
      <c r="B408" s="2" t="s">
        <v>1068</v>
      </c>
      <c r="C408" s="12" t="s">
        <v>42</v>
      </c>
      <c r="D408" s="2" t="s">
        <v>1072</v>
      </c>
      <c r="E408" s="3" t="s">
        <v>29</v>
      </c>
      <c r="F408" s="2" t="s">
        <v>1071</v>
      </c>
      <c r="G408" s="2" t="s">
        <v>1073</v>
      </c>
      <c r="H408" s="3" t="s">
        <v>34</v>
      </c>
      <c r="I408" s="5">
        <v>2833671388.4400001</v>
      </c>
      <c r="J408" s="5">
        <v>1049700872.5700001</v>
      </c>
      <c r="K408" s="12">
        <v>37</v>
      </c>
      <c r="L408" s="56">
        <v>524850436.27999997</v>
      </c>
      <c r="M408" s="5">
        <v>524850436.27999997</v>
      </c>
      <c r="N408" s="5">
        <v>524850436.29000002</v>
      </c>
      <c r="O408" s="5">
        <f t="shared" ref="O408:O471" si="18">L408-M408</f>
        <v>0</v>
      </c>
      <c r="P408" s="5"/>
      <c r="Q408" s="8" t="s">
        <v>2676</v>
      </c>
      <c r="R408" s="142"/>
    </row>
    <row r="409" spans="1:18" ht="30" outlineLevel="2" x14ac:dyDescent="0.2">
      <c r="A409" s="3" t="s">
        <v>24</v>
      </c>
      <c r="B409" s="2" t="s">
        <v>1141</v>
      </c>
      <c r="C409" s="12" t="s">
        <v>42</v>
      </c>
      <c r="D409" s="2" t="s">
        <v>1142</v>
      </c>
      <c r="E409" s="3" t="s">
        <v>29</v>
      </c>
      <c r="F409" s="2" t="s">
        <v>139</v>
      </c>
      <c r="G409" s="2" t="s">
        <v>229</v>
      </c>
      <c r="H409" s="3" t="s">
        <v>78</v>
      </c>
      <c r="I409" s="5">
        <v>67775724.109999999</v>
      </c>
      <c r="J409" s="5">
        <v>18764558.210000001</v>
      </c>
      <c r="K409" s="12">
        <v>28</v>
      </c>
      <c r="L409" s="5">
        <f>I409*40%</f>
        <v>27110289.644000001</v>
      </c>
      <c r="M409" s="5">
        <v>15276279.449999999</v>
      </c>
      <c r="N409" s="5">
        <v>3488278.76</v>
      </c>
      <c r="O409" s="5">
        <f t="shared" si="18"/>
        <v>11834010.194000002</v>
      </c>
      <c r="P409" s="5"/>
      <c r="Q409" s="8" t="s">
        <v>2154</v>
      </c>
      <c r="R409" s="141"/>
    </row>
    <row r="410" spans="1:18" s="44" customFormat="1" ht="30" outlineLevel="2" x14ac:dyDescent="0.25">
      <c r="A410" s="3" t="s">
        <v>24</v>
      </c>
      <c r="B410" s="2" t="s">
        <v>1154</v>
      </c>
      <c r="C410" s="12" t="s">
        <v>42</v>
      </c>
      <c r="D410" s="2" t="s">
        <v>1158</v>
      </c>
      <c r="E410" s="3" t="s">
        <v>29</v>
      </c>
      <c r="F410" s="2" t="s">
        <v>1159</v>
      </c>
      <c r="G410" s="2" t="s">
        <v>1160</v>
      </c>
      <c r="H410" s="3" t="s">
        <v>308</v>
      </c>
      <c r="I410" s="5">
        <v>17150826</v>
      </c>
      <c r="J410" s="5">
        <v>8575413</v>
      </c>
      <c r="K410" s="12">
        <v>50</v>
      </c>
      <c r="L410" s="5">
        <f>I410*40%</f>
        <v>6860330.4000000004</v>
      </c>
      <c r="M410" s="5"/>
      <c r="N410" s="5">
        <v>8575413</v>
      </c>
      <c r="O410" s="5">
        <f t="shared" si="18"/>
        <v>6860330.4000000004</v>
      </c>
      <c r="P410" s="5"/>
      <c r="Q410" s="16" t="s">
        <v>2155</v>
      </c>
      <c r="R410" s="142"/>
    </row>
    <row r="411" spans="1:18" ht="30" outlineLevel="2" x14ac:dyDescent="0.2">
      <c r="A411" s="3" t="s">
        <v>24</v>
      </c>
      <c r="B411" s="2" t="s">
        <v>1171</v>
      </c>
      <c r="C411" s="12" t="s">
        <v>42</v>
      </c>
      <c r="D411" s="2" t="s">
        <v>1172</v>
      </c>
      <c r="E411" s="6" t="s">
        <v>29</v>
      </c>
      <c r="F411" s="2" t="s">
        <v>1173</v>
      </c>
      <c r="G411" s="2" t="s">
        <v>1155</v>
      </c>
      <c r="H411" s="3" t="s">
        <v>34</v>
      </c>
      <c r="I411" s="5">
        <v>665945077.20000005</v>
      </c>
      <c r="J411" s="5">
        <v>169937045.75999999</v>
      </c>
      <c r="K411" s="12">
        <v>26</v>
      </c>
      <c r="L411" s="5">
        <f>J411/80*40</f>
        <v>84968522.879999995</v>
      </c>
      <c r="M411" s="5"/>
      <c r="N411" s="5">
        <v>169937045.75999999</v>
      </c>
      <c r="O411" s="5">
        <f t="shared" si="18"/>
        <v>84968522.879999995</v>
      </c>
      <c r="P411" s="5"/>
      <c r="Q411" s="16" t="s">
        <v>2155</v>
      </c>
      <c r="R411" s="141"/>
    </row>
    <row r="412" spans="1:18" ht="30" outlineLevel="2" x14ac:dyDescent="0.2">
      <c r="A412" s="3" t="s">
        <v>24</v>
      </c>
      <c r="B412" s="2" t="s">
        <v>1184</v>
      </c>
      <c r="C412" s="12" t="s">
        <v>42</v>
      </c>
      <c r="D412" s="2" t="s">
        <v>1186</v>
      </c>
      <c r="E412" s="3" t="s">
        <v>29</v>
      </c>
      <c r="F412" s="2" t="s">
        <v>1187</v>
      </c>
      <c r="G412" s="2" t="s">
        <v>1185</v>
      </c>
      <c r="H412" s="3" t="s">
        <v>1188</v>
      </c>
      <c r="I412" s="5">
        <v>28560</v>
      </c>
      <c r="J412" s="5">
        <v>17136</v>
      </c>
      <c r="K412" s="12">
        <v>60</v>
      </c>
      <c r="L412" s="5">
        <v>17136</v>
      </c>
      <c r="M412" s="5">
        <v>17136</v>
      </c>
      <c r="N412" s="5"/>
      <c r="O412" s="5">
        <f t="shared" si="18"/>
        <v>0</v>
      </c>
      <c r="P412" s="5"/>
      <c r="Q412" s="8" t="s">
        <v>2035</v>
      </c>
      <c r="R412" s="141"/>
    </row>
    <row r="413" spans="1:18" ht="30" outlineLevel="2" x14ac:dyDescent="0.2">
      <c r="A413" s="3" t="s">
        <v>24</v>
      </c>
      <c r="B413" s="2" t="s">
        <v>1184</v>
      </c>
      <c r="C413" s="12" t="s">
        <v>42</v>
      </c>
      <c r="D413" s="2" t="s">
        <v>1189</v>
      </c>
      <c r="E413" s="3" t="s">
        <v>29</v>
      </c>
      <c r="F413" s="2" t="s">
        <v>1190</v>
      </c>
      <c r="G413" s="2" t="s">
        <v>1185</v>
      </c>
      <c r="H413" s="3" t="s">
        <v>110</v>
      </c>
      <c r="I413" s="5">
        <v>220483.20000000001</v>
      </c>
      <c r="J413" s="5">
        <v>132289.92000000001</v>
      </c>
      <c r="K413" s="12">
        <v>60</v>
      </c>
      <c r="L413" s="5">
        <v>132289.92000000001</v>
      </c>
      <c r="M413" s="5">
        <v>132289.92000000001</v>
      </c>
      <c r="N413" s="5"/>
      <c r="O413" s="5">
        <f t="shared" si="18"/>
        <v>0</v>
      </c>
      <c r="P413" s="5"/>
      <c r="Q413" s="8" t="s">
        <v>2036</v>
      </c>
      <c r="R413" s="141"/>
    </row>
    <row r="414" spans="1:18" ht="45" outlineLevel="2" x14ac:dyDescent="0.2">
      <c r="A414" s="3" t="s">
        <v>24</v>
      </c>
      <c r="B414" s="2" t="s">
        <v>1191</v>
      </c>
      <c r="C414" s="12" t="s">
        <v>42</v>
      </c>
      <c r="D414" s="2" t="s">
        <v>1193</v>
      </c>
      <c r="E414" s="3" t="s">
        <v>29</v>
      </c>
      <c r="F414" s="2" t="s">
        <v>1195</v>
      </c>
      <c r="G414" s="2" t="s">
        <v>1194</v>
      </c>
      <c r="H414" s="3" t="s">
        <v>78</v>
      </c>
      <c r="I414" s="5">
        <v>61486854</v>
      </c>
      <c r="J414" s="5">
        <f>I414*0.8</f>
        <v>49189483.200000003</v>
      </c>
      <c r="K414" s="12">
        <v>7</v>
      </c>
      <c r="L414" s="5">
        <v>23628432</v>
      </c>
      <c r="M414" s="5">
        <v>23628432</v>
      </c>
      <c r="N414" s="5"/>
      <c r="O414" s="5">
        <f t="shared" si="18"/>
        <v>0</v>
      </c>
      <c r="P414" s="5"/>
      <c r="Q414" s="8" t="s">
        <v>2566</v>
      </c>
      <c r="R414" s="141"/>
    </row>
    <row r="415" spans="1:18" ht="45" outlineLevel="2" x14ac:dyDescent="0.2">
      <c r="A415" s="3" t="s">
        <v>24</v>
      </c>
      <c r="B415" s="2" t="s">
        <v>1191</v>
      </c>
      <c r="C415" s="12" t="s">
        <v>42</v>
      </c>
      <c r="D415" s="2" t="s">
        <v>1199</v>
      </c>
      <c r="E415" s="3" t="s">
        <v>29</v>
      </c>
      <c r="F415" s="2" t="s">
        <v>732</v>
      </c>
      <c r="G415" s="2" t="s">
        <v>1192</v>
      </c>
      <c r="H415" s="3" t="s">
        <v>34</v>
      </c>
      <c r="I415" s="5">
        <v>171039099.59999999</v>
      </c>
      <c r="J415" s="5">
        <v>136831279.68000001</v>
      </c>
      <c r="K415" s="12">
        <v>63</v>
      </c>
      <c r="L415" s="5">
        <v>68415639.840000004</v>
      </c>
      <c r="M415" s="5">
        <v>68415639.840000004</v>
      </c>
      <c r="N415" s="5">
        <v>68415639.840000004</v>
      </c>
      <c r="O415" s="5">
        <f t="shared" si="18"/>
        <v>0</v>
      </c>
      <c r="P415" s="5"/>
      <c r="Q415" s="8" t="s">
        <v>2566</v>
      </c>
      <c r="R415" s="141"/>
    </row>
    <row r="416" spans="1:18" s="44" customFormat="1" ht="30" outlineLevel="2" x14ac:dyDescent="0.25">
      <c r="A416" s="3" t="s">
        <v>24</v>
      </c>
      <c r="B416" s="2" t="s">
        <v>1209</v>
      </c>
      <c r="C416" s="12" t="s">
        <v>42</v>
      </c>
      <c r="D416" s="2" t="s">
        <v>1210</v>
      </c>
      <c r="E416" s="3" t="s">
        <v>29</v>
      </c>
      <c r="F416" s="33" t="s">
        <v>122</v>
      </c>
      <c r="G416" s="2" t="s">
        <v>117</v>
      </c>
      <c r="H416" s="3" t="s">
        <v>78</v>
      </c>
      <c r="I416" s="5">
        <v>3506677.9</v>
      </c>
      <c r="J416" s="5">
        <v>434423.88</v>
      </c>
      <c r="K416" s="12">
        <v>12</v>
      </c>
      <c r="L416" s="5">
        <v>434423.88</v>
      </c>
      <c r="M416" s="5">
        <v>33439.339999999997</v>
      </c>
      <c r="N416" s="5">
        <v>400984.54</v>
      </c>
      <c r="O416" s="5">
        <f t="shared" si="18"/>
        <v>400984.54000000004</v>
      </c>
      <c r="P416" s="5"/>
      <c r="Q416" s="8"/>
      <c r="R416" s="142"/>
    </row>
    <row r="417" spans="1:18" s="44" customFormat="1" ht="30" outlineLevel="2" x14ac:dyDescent="0.25">
      <c r="A417" s="3" t="s">
        <v>24</v>
      </c>
      <c r="B417" s="2" t="s">
        <v>1209</v>
      </c>
      <c r="C417" s="12" t="s">
        <v>42</v>
      </c>
      <c r="D417" s="2" t="s">
        <v>1210</v>
      </c>
      <c r="E417" s="3" t="s">
        <v>29</v>
      </c>
      <c r="F417" s="2" t="s">
        <v>1211</v>
      </c>
      <c r="G417" s="2" t="s">
        <v>117</v>
      </c>
      <c r="H417" s="3" t="s">
        <v>308</v>
      </c>
      <c r="I417" s="5">
        <v>3506677.9</v>
      </c>
      <c r="J417" s="5">
        <v>567020.91</v>
      </c>
      <c r="K417" s="12">
        <v>16</v>
      </c>
      <c r="L417" s="5">
        <v>567020.91</v>
      </c>
      <c r="M417" s="5"/>
      <c r="N417" s="5">
        <v>567020.91</v>
      </c>
      <c r="O417" s="5">
        <f t="shared" si="18"/>
        <v>567020.91</v>
      </c>
      <c r="P417" s="42">
        <v>45555</v>
      </c>
      <c r="Q417" s="8" t="s">
        <v>2079</v>
      </c>
      <c r="R417" s="142"/>
    </row>
    <row r="418" spans="1:18" ht="30" outlineLevel="2" x14ac:dyDescent="0.2">
      <c r="A418" s="3" t="s">
        <v>24</v>
      </c>
      <c r="B418" s="2" t="s">
        <v>1232</v>
      </c>
      <c r="C418" s="12" t="s">
        <v>42</v>
      </c>
      <c r="D418" s="2" t="s">
        <v>1233</v>
      </c>
      <c r="E418" s="3" t="s">
        <v>29</v>
      </c>
      <c r="F418" s="2" t="s">
        <v>139</v>
      </c>
      <c r="G418" s="2" t="s">
        <v>117</v>
      </c>
      <c r="H418" s="3" t="s">
        <v>78</v>
      </c>
      <c r="I418" s="5">
        <v>71713410.120000005</v>
      </c>
      <c r="J418" s="5">
        <v>6367249.6799999997</v>
      </c>
      <c r="K418" s="12">
        <v>9</v>
      </c>
      <c r="L418" s="5">
        <v>4701974.1100000003</v>
      </c>
      <c r="M418" s="5">
        <v>4701974.1100000003</v>
      </c>
      <c r="N418" s="5">
        <v>1665275.57</v>
      </c>
      <c r="O418" s="5">
        <f t="shared" si="18"/>
        <v>0</v>
      </c>
      <c r="P418" s="5" t="s">
        <v>2031</v>
      </c>
      <c r="Q418" s="8" t="s">
        <v>2027</v>
      </c>
      <c r="R418" s="141"/>
    </row>
    <row r="419" spans="1:18" s="44" customFormat="1" ht="30" outlineLevel="2" x14ac:dyDescent="0.25">
      <c r="A419" s="3" t="s">
        <v>24</v>
      </c>
      <c r="B419" s="2" t="s">
        <v>1232</v>
      </c>
      <c r="C419" s="12" t="s">
        <v>42</v>
      </c>
      <c r="D419" s="2" t="s">
        <v>1233</v>
      </c>
      <c r="E419" s="3" t="s">
        <v>29</v>
      </c>
      <c r="F419" s="2" t="s">
        <v>1071</v>
      </c>
      <c r="G419" s="2" t="s">
        <v>117</v>
      </c>
      <c r="H419" s="3" t="s">
        <v>34</v>
      </c>
      <c r="I419" s="5">
        <v>71713410.120000005</v>
      </c>
      <c r="J419" s="5">
        <v>18704433.600000001</v>
      </c>
      <c r="K419" s="12">
        <v>26</v>
      </c>
      <c r="L419" s="5">
        <v>9352216.8000000007</v>
      </c>
      <c r="M419" s="5">
        <v>9352216.8000000007</v>
      </c>
      <c r="N419" s="5">
        <v>9352216.8000000007</v>
      </c>
      <c r="O419" s="5">
        <f t="shared" si="18"/>
        <v>0</v>
      </c>
      <c r="P419" s="5" t="s">
        <v>2031</v>
      </c>
      <c r="Q419" s="8" t="s">
        <v>1975</v>
      </c>
      <c r="R419" s="142"/>
    </row>
    <row r="420" spans="1:18" s="44" customFormat="1" ht="30" outlineLevel="2" x14ac:dyDescent="0.25">
      <c r="A420" s="3" t="s">
        <v>24</v>
      </c>
      <c r="B420" s="2" t="s">
        <v>1247</v>
      </c>
      <c r="C420" s="12" t="s">
        <v>42</v>
      </c>
      <c r="D420" s="2" t="s">
        <v>1249</v>
      </c>
      <c r="E420" s="3" t="s">
        <v>29</v>
      </c>
      <c r="F420" s="2" t="s">
        <v>139</v>
      </c>
      <c r="G420" s="2" t="s">
        <v>969</v>
      </c>
      <c r="H420" s="3" t="s">
        <v>78</v>
      </c>
      <c r="I420" s="5">
        <v>34803576</v>
      </c>
      <c r="J420" s="5">
        <v>5500017.5999999996</v>
      </c>
      <c r="K420" s="12">
        <v>16</v>
      </c>
      <c r="L420" s="5">
        <f>I420*40%</f>
        <v>13921430.4</v>
      </c>
      <c r="M420" s="5">
        <v>4125013.2</v>
      </c>
      <c r="N420" s="5">
        <v>1375004.4</v>
      </c>
      <c r="O420" s="5">
        <f t="shared" si="18"/>
        <v>9796417.1999999993</v>
      </c>
      <c r="P420" s="5"/>
      <c r="Q420" s="8" t="s">
        <v>2567</v>
      </c>
      <c r="R420" s="142"/>
    </row>
    <row r="421" spans="1:18" ht="30" outlineLevel="2" x14ac:dyDescent="0.2">
      <c r="A421" s="3" t="s">
        <v>24</v>
      </c>
      <c r="B421" s="2" t="s">
        <v>1255</v>
      </c>
      <c r="C421" s="12" t="s">
        <v>42</v>
      </c>
      <c r="D421" s="2" t="s">
        <v>1257</v>
      </c>
      <c r="E421" s="3" t="s">
        <v>29</v>
      </c>
      <c r="F421" s="2" t="s">
        <v>139</v>
      </c>
      <c r="G421" s="2" t="s">
        <v>1256</v>
      </c>
      <c r="H421" s="3" t="s">
        <v>78</v>
      </c>
      <c r="I421" s="5">
        <v>151184633.13999999</v>
      </c>
      <c r="J421" s="5">
        <v>13706616</v>
      </c>
      <c r="K421" s="12">
        <v>9</v>
      </c>
      <c r="L421" s="5">
        <v>11166064.609999999</v>
      </c>
      <c r="M421" s="5">
        <v>11166064.609999999</v>
      </c>
      <c r="N421" s="5">
        <v>2540551.39</v>
      </c>
      <c r="O421" s="5">
        <f t="shared" si="18"/>
        <v>0</v>
      </c>
      <c r="P421" s="57" t="s">
        <v>2037</v>
      </c>
      <c r="Q421" s="8" t="s">
        <v>1979</v>
      </c>
      <c r="R421" s="141"/>
    </row>
    <row r="422" spans="1:18" s="44" customFormat="1" ht="30" outlineLevel="2" x14ac:dyDescent="0.25">
      <c r="A422" s="3" t="s">
        <v>24</v>
      </c>
      <c r="B422" s="2" t="s">
        <v>1255</v>
      </c>
      <c r="C422" s="12" t="s">
        <v>42</v>
      </c>
      <c r="D422" s="2" t="s">
        <v>1257</v>
      </c>
      <c r="E422" s="3" t="s">
        <v>29</v>
      </c>
      <c r="F422" s="2" t="s">
        <v>140</v>
      </c>
      <c r="G422" s="2" t="s">
        <v>1256</v>
      </c>
      <c r="H422" s="3" t="s">
        <v>34</v>
      </c>
      <c r="I422" s="5">
        <v>151184633.13999999</v>
      </c>
      <c r="J422" s="5">
        <v>43466874.049999997</v>
      </c>
      <c r="K422" s="12">
        <v>29</v>
      </c>
      <c r="L422" s="5">
        <v>21733437.02</v>
      </c>
      <c r="M422" s="5">
        <v>21733437.02</v>
      </c>
      <c r="N422" s="5">
        <v>21733437.030000001</v>
      </c>
      <c r="O422" s="5">
        <f t="shared" si="18"/>
        <v>0</v>
      </c>
      <c r="P422" s="5" t="s">
        <v>2031</v>
      </c>
      <c r="Q422" s="8" t="s">
        <v>1975</v>
      </c>
      <c r="R422" s="142"/>
    </row>
    <row r="423" spans="1:18" ht="45" outlineLevel="2" x14ac:dyDescent="0.2">
      <c r="A423" s="3" t="s">
        <v>24</v>
      </c>
      <c r="B423" s="2" t="s">
        <v>1262</v>
      </c>
      <c r="C423" s="12" t="s">
        <v>42</v>
      </c>
      <c r="D423" s="2" t="s">
        <v>1264</v>
      </c>
      <c r="E423" s="3" t="s">
        <v>29</v>
      </c>
      <c r="F423" s="2" t="s">
        <v>1265</v>
      </c>
      <c r="G423" s="2" t="s">
        <v>1263</v>
      </c>
      <c r="H423" s="3" t="s">
        <v>78</v>
      </c>
      <c r="I423" s="5">
        <v>37859606.399999999</v>
      </c>
      <c r="J423" s="5">
        <v>6872296.2000000002</v>
      </c>
      <c r="K423" s="12">
        <v>18</v>
      </c>
      <c r="L423" s="5">
        <v>3927026.4</v>
      </c>
      <c r="M423" s="5">
        <v>3927026.4</v>
      </c>
      <c r="N423" s="5">
        <v>2945269.8</v>
      </c>
      <c r="O423" s="5">
        <f t="shared" si="18"/>
        <v>0</v>
      </c>
      <c r="P423" s="5"/>
      <c r="Q423" s="8" t="s">
        <v>1975</v>
      </c>
      <c r="R423" s="141"/>
    </row>
    <row r="424" spans="1:18" s="44" customFormat="1" ht="45" outlineLevel="2" x14ac:dyDescent="0.25">
      <c r="A424" s="3" t="s">
        <v>24</v>
      </c>
      <c r="B424" s="2" t="s">
        <v>1306</v>
      </c>
      <c r="C424" s="12" t="s">
        <v>42</v>
      </c>
      <c r="D424" s="2" t="s">
        <v>1312</v>
      </c>
      <c r="E424" s="3" t="s">
        <v>29</v>
      </c>
      <c r="F424" s="2" t="s">
        <v>349</v>
      </c>
      <c r="G424" s="2" t="s">
        <v>1313</v>
      </c>
      <c r="H424" s="3" t="s">
        <v>34</v>
      </c>
      <c r="I424" s="5">
        <v>689856.78</v>
      </c>
      <c r="J424" s="5">
        <v>542138</v>
      </c>
      <c r="K424" s="12">
        <v>79</v>
      </c>
      <c r="L424" s="5">
        <f>I424*40%</f>
        <v>275942.712</v>
      </c>
      <c r="M424" s="5"/>
      <c r="N424" s="5">
        <v>542138</v>
      </c>
      <c r="O424" s="5">
        <f t="shared" si="18"/>
        <v>275942.712</v>
      </c>
      <c r="P424" s="5"/>
      <c r="Q424" s="8" t="s">
        <v>2038</v>
      </c>
      <c r="R424" s="142"/>
    </row>
    <row r="425" spans="1:18" s="44" customFormat="1" ht="30" outlineLevel="2" x14ac:dyDescent="0.25">
      <c r="A425" s="3" t="s">
        <v>24</v>
      </c>
      <c r="B425" s="2" t="s">
        <v>1642</v>
      </c>
      <c r="C425" s="12" t="s">
        <v>42</v>
      </c>
      <c r="D425" s="2" t="s">
        <v>1643</v>
      </c>
      <c r="E425" s="3" t="s">
        <v>29</v>
      </c>
      <c r="F425" s="2" t="s">
        <v>1645</v>
      </c>
      <c r="G425" s="2" t="s">
        <v>1644</v>
      </c>
      <c r="H425" s="3" t="s">
        <v>78</v>
      </c>
      <c r="I425" s="5">
        <v>45300465.649999999</v>
      </c>
      <c r="J425" s="5">
        <v>7172306.7840000009</v>
      </c>
      <c r="K425" s="12"/>
      <c r="L425" s="5">
        <f>I425*40%</f>
        <v>18120186.260000002</v>
      </c>
      <c r="M425" s="5">
        <v>5096738.59</v>
      </c>
      <c r="N425" s="5">
        <f>J425-M425</f>
        <v>2075568.1940000011</v>
      </c>
      <c r="O425" s="5">
        <f t="shared" si="18"/>
        <v>13023447.670000002</v>
      </c>
      <c r="P425" s="5"/>
      <c r="Q425" s="8" t="s">
        <v>2538</v>
      </c>
      <c r="R425" s="142"/>
    </row>
    <row r="426" spans="1:18" ht="45" outlineLevel="2" x14ac:dyDescent="0.2">
      <c r="A426" s="3" t="s">
        <v>24</v>
      </c>
      <c r="B426" s="2" t="s">
        <v>1655</v>
      </c>
      <c r="C426" s="12" t="s">
        <v>42</v>
      </c>
      <c r="D426" s="2" t="s">
        <v>1658</v>
      </c>
      <c r="E426" s="3" t="s">
        <v>29</v>
      </c>
      <c r="F426" s="2" t="s">
        <v>77</v>
      </c>
      <c r="G426" s="2" t="s">
        <v>1656</v>
      </c>
      <c r="H426" s="3" t="s">
        <v>78</v>
      </c>
      <c r="I426" s="64">
        <v>6346841.1600000001</v>
      </c>
      <c r="J426" s="5">
        <v>5077472.93</v>
      </c>
      <c r="K426" s="12">
        <v>16</v>
      </c>
      <c r="L426" s="5">
        <f>I426*40%</f>
        <v>2538736.4640000002</v>
      </c>
      <c r="M426" s="5">
        <v>1136985.8500000001</v>
      </c>
      <c r="N426" s="5">
        <v>3940487.08</v>
      </c>
      <c r="O426" s="5">
        <f t="shared" si="18"/>
        <v>1401750.6140000001</v>
      </c>
      <c r="P426" s="65">
        <v>45541</v>
      </c>
      <c r="Q426" s="66" t="s">
        <v>2942</v>
      </c>
      <c r="R426" s="141"/>
    </row>
    <row r="427" spans="1:18" ht="30" outlineLevel="2" x14ac:dyDescent="0.2">
      <c r="A427" s="3" t="s">
        <v>24</v>
      </c>
      <c r="B427" s="2" t="s">
        <v>1669</v>
      </c>
      <c r="C427" s="12" t="s">
        <v>42</v>
      </c>
      <c r="D427" s="2" t="s">
        <v>1670</v>
      </c>
      <c r="E427" s="3" t="s">
        <v>29</v>
      </c>
      <c r="F427" s="2" t="s">
        <v>139</v>
      </c>
      <c r="G427" s="2" t="s">
        <v>117</v>
      </c>
      <c r="H427" s="3" t="s">
        <v>78</v>
      </c>
      <c r="I427" s="5">
        <v>104710140.09</v>
      </c>
      <c r="J427" s="5">
        <v>29364414.289999999</v>
      </c>
      <c r="K427" s="12">
        <v>28</v>
      </c>
      <c r="L427" s="5">
        <f>I427*40%</f>
        <v>41884056.036000006</v>
      </c>
      <c r="M427" s="5">
        <v>29364414.289999999</v>
      </c>
      <c r="N427" s="5"/>
      <c r="O427" s="5">
        <f t="shared" si="18"/>
        <v>12519641.746000007</v>
      </c>
      <c r="P427" s="5" t="s">
        <v>2568</v>
      </c>
      <c r="Q427" s="8" t="s">
        <v>2569</v>
      </c>
      <c r="R427" s="141"/>
    </row>
    <row r="428" spans="1:18" s="44" customFormat="1" ht="30" outlineLevel="2" x14ac:dyDescent="0.25">
      <c r="A428" s="3" t="s">
        <v>24</v>
      </c>
      <c r="B428" s="2" t="s">
        <v>1685</v>
      </c>
      <c r="C428" s="12" t="s">
        <v>42</v>
      </c>
      <c r="D428" s="2" t="s">
        <v>1687</v>
      </c>
      <c r="E428" s="3" t="s">
        <v>29</v>
      </c>
      <c r="F428" s="2" t="s">
        <v>77</v>
      </c>
      <c r="G428" s="2" t="s">
        <v>1686</v>
      </c>
      <c r="H428" s="3" t="s">
        <v>78</v>
      </c>
      <c r="I428" s="5">
        <v>5445682.7999999998</v>
      </c>
      <c r="J428" s="5">
        <v>845328</v>
      </c>
      <c r="K428" s="12">
        <v>16</v>
      </c>
      <c r="L428" s="5">
        <f>J428*0.5</f>
        <v>422664</v>
      </c>
      <c r="M428" s="5">
        <v>0</v>
      </c>
      <c r="N428" s="5">
        <v>845328</v>
      </c>
      <c r="O428" s="5">
        <f t="shared" si="18"/>
        <v>422664</v>
      </c>
      <c r="P428" s="5"/>
      <c r="Q428" s="39" t="s">
        <v>2936</v>
      </c>
      <c r="R428" s="142"/>
    </row>
    <row r="429" spans="1:18" s="44" customFormat="1" ht="19.5" customHeight="1" outlineLevel="2" x14ac:dyDescent="0.25">
      <c r="A429" s="3" t="s">
        <v>24</v>
      </c>
      <c r="B429" s="2" t="s">
        <v>1685</v>
      </c>
      <c r="C429" s="12" t="s">
        <v>42</v>
      </c>
      <c r="D429" s="2">
        <v>2.2251873259114199E+24</v>
      </c>
      <c r="E429" s="3" t="s">
        <v>1949</v>
      </c>
      <c r="F429" s="2" t="s">
        <v>45</v>
      </c>
      <c r="G429" s="2" t="s">
        <v>1686</v>
      </c>
      <c r="H429" s="3" t="s">
        <v>34</v>
      </c>
      <c r="I429" s="5">
        <v>3129278.4</v>
      </c>
      <c r="J429" s="5">
        <f>I429*0.8</f>
        <v>2503422.7200000002</v>
      </c>
      <c r="K429" s="12"/>
      <c r="L429" s="5">
        <f>I429*40%</f>
        <v>1251711.3600000001</v>
      </c>
      <c r="M429" s="5">
        <v>0</v>
      </c>
      <c r="N429" s="5"/>
      <c r="O429" s="5">
        <f t="shared" si="18"/>
        <v>1251711.3600000001</v>
      </c>
      <c r="P429" s="5"/>
      <c r="Q429" s="8"/>
      <c r="R429" s="142"/>
    </row>
    <row r="430" spans="1:18" s="44" customFormat="1" ht="30" outlineLevel="2" x14ac:dyDescent="0.25">
      <c r="A430" s="3" t="s">
        <v>24</v>
      </c>
      <c r="B430" s="2" t="s">
        <v>1708</v>
      </c>
      <c r="C430" s="12" t="s">
        <v>42</v>
      </c>
      <c r="D430" s="2" t="s">
        <v>1711</v>
      </c>
      <c r="E430" s="3" t="s">
        <v>29</v>
      </c>
      <c r="F430" s="2" t="s">
        <v>1713</v>
      </c>
      <c r="G430" s="2" t="s">
        <v>1712</v>
      </c>
      <c r="H430" s="3" t="s">
        <v>308</v>
      </c>
      <c r="I430" s="5">
        <v>2742343.15</v>
      </c>
      <c r="J430" s="5">
        <v>516731.85</v>
      </c>
      <c r="K430" s="12">
        <v>19</v>
      </c>
      <c r="L430" s="5">
        <v>516731.85</v>
      </c>
      <c r="M430" s="5">
        <v>516731.85</v>
      </c>
      <c r="N430" s="5"/>
      <c r="O430" s="5">
        <f t="shared" si="18"/>
        <v>0</v>
      </c>
      <c r="P430" s="5"/>
      <c r="Q430" s="8" t="s">
        <v>2039</v>
      </c>
      <c r="R430" s="142"/>
    </row>
    <row r="431" spans="1:18" ht="30" outlineLevel="2" x14ac:dyDescent="0.2">
      <c r="A431" s="3" t="s">
        <v>24</v>
      </c>
      <c r="B431" s="2" t="s">
        <v>1718</v>
      </c>
      <c r="C431" s="12" t="s">
        <v>42</v>
      </c>
      <c r="D431" s="2" t="s">
        <v>1721</v>
      </c>
      <c r="E431" s="3" t="s">
        <v>29</v>
      </c>
      <c r="F431" s="2" t="s">
        <v>77</v>
      </c>
      <c r="G431" s="2" t="s">
        <v>819</v>
      </c>
      <c r="H431" s="3" t="s">
        <v>78</v>
      </c>
      <c r="I431" s="5">
        <v>18396586.210000001</v>
      </c>
      <c r="J431" s="5">
        <v>2877928.94</v>
      </c>
      <c r="K431" s="12">
        <v>16</v>
      </c>
      <c r="L431" s="5">
        <v>2201093.0299999998</v>
      </c>
      <c r="M431" s="5">
        <v>2201093.0299999998</v>
      </c>
      <c r="N431" s="5">
        <v>676835.91</v>
      </c>
      <c r="O431" s="5">
        <f t="shared" si="18"/>
        <v>0</v>
      </c>
      <c r="P431" s="5"/>
      <c r="Q431" s="8" t="s">
        <v>1979</v>
      </c>
      <c r="R431" s="141"/>
    </row>
    <row r="432" spans="1:18" ht="30" outlineLevel="2" x14ac:dyDescent="0.2">
      <c r="A432" s="3" t="s">
        <v>24</v>
      </c>
      <c r="B432" s="2" t="s">
        <v>1734</v>
      </c>
      <c r="C432" s="12" t="s">
        <v>42</v>
      </c>
      <c r="D432" s="2" t="s">
        <v>1737</v>
      </c>
      <c r="E432" s="3" t="s">
        <v>29</v>
      </c>
      <c r="F432" s="2" t="s">
        <v>77</v>
      </c>
      <c r="G432" s="2" t="s">
        <v>1738</v>
      </c>
      <c r="H432" s="3" t="s">
        <v>78</v>
      </c>
      <c r="I432" s="5">
        <v>2052090377.5599999</v>
      </c>
      <c r="J432" s="5">
        <v>196411001.28</v>
      </c>
      <c r="K432" s="12">
        <v>10</v>
      </c>
      <c r="L432" s="5">
        <v>98205500.640000001</v>
      </c>
      <c r="M432" s="5">
        <v>98205500.640000001</v>
      </c>
      <c r="N432" s="5">
        <v>98205500.640000001</v>
      </c>
      <c r="O432" s="5">
        <f t="shared" si="18"/>
        <v>0</v>
      </c>
      <c r="P432" s="5" t="s">
        <v>2031</v>
      </c>
      <c r="Q432" s="8" t="s">
        <v>1975</v>
      </c>
      <c r="R432" s="141"/>
    </row>
    <row r="433" spans="1:18" s="44" customFormat="1" ht="30" outlineLevel="2" x14ac:dyDescent="0.25">
      <c r="A433" s="3" t="s">
        <v>24</v>
      </c>
      <c r="B433" s="2" t="s">
        <v>1734</v>
      </c>
      <c r="C433" s="12" t="s">
        <v>42</v>
      </c>
      <c r="D433" s="2" t="s">
        <v>1737</v>
      </c>
      <c r="E433" s="3" t="s">
        <v>29</v>
      </c>
      <c r="F433" s="2" t="s">
        <v>756</v>
      </c>
      <c r="G433" s="2" t="s">
        <v>1738</v>
      </c>
      <c r="H433" s="3" t="s">
        <v>34</v>
      </c>
      <c r="I433" s="5">
        <v>2052090377.5599999</v>
      </c>
      <c r="J433" s="5">
        <v>515176396.80000001</v>
      </c>
      <c r="K433" s="12">
        <v>25</v>
      </c>
      <c r="L433" s="5">
        <v>257588198.40000001</v>
      </c>
      <c r="M433" s="5">
        <v>257588198.40000001</v>
      </c>
      <c r="N433" s="5">
        <v>257588198.40000001</v>
      </c>
      <c r="O433" s="5">
        <f t="shared" si="18"/>
        <v>0</v>
      </c>
      <c r="P433" s="5" t="s">
        <v>2031</v>
      </c>
      <c r="Q433" s="8" t="s">
        <v>1975</v>
      </c>
      <c r="R433" s="142"/>
    </row>
    <row r="434" spans="1:18" ht="30" outlineLevel="2" x14ac:dyDescent="0.2">
      <c r="A434" s="3" t="s">
        <v>24</v>
      </c>
      <c r="B434" s="2" t="s">
        <v>1777</v>
      </c>
      <c r="C434" s="12" t="s">
        <v>42</v>
      </c>
      <c r="D434" s="2" t="s">
        <v>1779</v>
      </c>
      <c r="E434" s="3" t="s">
        <v>29</v>
      </c>
      <c r="F434" s="2" t="s">
        <v>139</v>
      </c>
      <c r="G434" s="2" t="s">
        <v>1778</v>
      </c>
      <c r="H434" s="3" t="s">
        <v>78</v>
      </c>
      <c r="I434" s="5">
        <v>208017600</v>
      </c>
      <c r="J434" s="5">
        <v>19219200</v>
      </c>
      <c r="K434" s="12">
        <v>9</v>
      </c>
      <c r="L434" s="5">
        <v>9609600</v>
      </c>
      <c r="M434" s="5">
        <v>9609600</v>
      </c>
      <c r="N434" s="5">
        <v>9609600</v>
      </c>
      <c r="O434" s="5">
        <f t="shared" si="18"/>
        <v>0</v>
      </c>
      <c r="P434" s="5"/>
      <c r="Q434" s="8" t="s">
        <v>2156</v>
      </c>
      <c r="R434" s="141"/>
    </row>
    <row r="435" spans="1:18" s="44" customFormat="1" ht="30" outlineLevel="2" x14ac:dyDescent="0.25">
      <c r="A435" s="3" t="s">
        <v>24</v>
      </c>
      <c r="B435" s="2" t="s">
        <v>1777</v>
      </c>
      <c r="C435" s="12" t="s">
        <v>42</v>
      </c>
      <c r="D435" s="2" t="s">
        <v>1779</v>
      </c>
      <c r="E435" s="3" t="s">
        <v>29</v>
      </c>
      <c r="F435" s="2" t="s">
        <v>209</v>
      </c>
      <c r="G435" s="2" t="s">
        <v>1778</v>
      </c>
      <c r="H435" s="3" t="s">
        <v>34</v>
      </c>
      <c r="I435" s="5">
        <v>208017600</v>
      </c>
      <c r="J435" s="5">
        <v>53464320</v>
      </c>
      <c r="K435" s="12">
        <v>26</v>
      </c>
      <c r="L435" s="5">
        <v>26732160</v>
      </c>
      <c r="M435" s="5">
        <v>26732160</v>
      </c>
      <c r="N435" s="5">
        <v>26732160</v>
      </c>
      <c r="O435" s="5">
        <f t="shared" si="18"/>
        <v>0</v>
      </c>
      <c r="P435" s="5"/>
      <c r="Q435" s="8" t="s">
        <v>2157</v>
      </c>
      <c r="R435" s="142"/>
    </row>
    <row r="436" spans="1:18" s="44" customFormat="1" ht="30" outlineLevel="2" x14ac:dyDescent="0.25">
      <c r="A436" s="3" t="s">
        <v>24</v>
      </c>
      <c r="B436" s="2" t="s">
        <v>1811</v>
      </c>
      <c r="C436" s="12" t="s">
        <v>42</v>
      </c>
      <c r="D436" s="2" t="s">
        <v>1815</v>
      </c>
      <c r="E436" s="3" t="s">
        <v>29</v>
      </c>
      <c r="F436" s="2" t="s">
        <v>1816</v>
      </c>
      <c r="G436" s="2" t="s">
        <v>1813</v>
      </c>
      <c r="H436" s="3" t="s">
        <v>107</v>
      </c>
      <c r="I436" s="5">
        <v>898050</v>
      </c>
      <c r="J436" s="5">
        <v>449025</v>
      </c>
      <c r="K436" s="12">
        <v>50</v>
      </c>
      <c r="L436" s="5">
        <v>449025</v>
      </c>
      <c r="M436" s="5">
        <v>449025</v>
      </c>
      <c r="N436" s="5"/>
      <c r="O436" s="5">
        <f t="shared" si="18"/>
        <v>0</v>
      </c>
      <c r="P436" s="5"/>
      <c r="Q436" s="8" t="s">
        <v>2158</v>
      </c>
      <c r="R436" s="142"/>
    </row>
    <row r="437" spans="1:18" ht="30" outlineLevel="2" x14ac:dyDescent="0.2">
      <c r="A437" s="3" t="s">
        <v>24</v>
      </c>
      <c r="B437" s="2" t="s">
        <v>1831</v>
      </c>
      <c r="C437" s="12" t="s">
        <v>42</v>
      </c>
      <c r="D437" s="2" t="s">
        <v>1834</v>
      </c>
      <c r="E437" s="3" t="s">
        <v>29</v>
      </c>
      <c r="F437" s="2" t="s">
        <v>140</v>
      </c>
      <c r="G437" s="2" t="s">
        <v>1835</v>
      </c>
      <c r="H437" s="3" t="s">
        <v>34</v>
      </c>
      <c r="I437" s="5">
        <v>2620727506.1700001</v>
      </c>
      <c r="J437" s="5">
        <v>794376089.11000001</v>
      </c>
      <c r="K437" s="12">
        <v>30</v>
      </c>
      <c r="L437" s="5">
        <v>377810714.75</v>
      </c>
      <c r="M437" s="5">
        <v>377810714.75</v>
      </c>
      <c r="N437" s="5">
        <v>416565374.36000001</v>
      </c>
      <c r="O437" s="5">
        <f t="shared" si="18"/>
        <v>0</v>
      </c>
      <c r="P437" s="5"/>
      <c r="Q437" s="8" t="s">
        <v>2040</v>
      </c>
      <c r="R437" s="141"/>
    </row>
    <row r="438" spans="1:18" s="44" customFormat="1" ht="30" outlineLevel="2" x14ac:dyDescent="0.25">
      <c r="A438" s="3" t="s">
        <v>24</v>
      </c>
      <c r="B438" s="2" t="s">
        <v>1831</v>
      </c>
      <c r="C438" s="12" t="s">
        <v>42</v>
      </c>
      <c r="D438" s="2" t="s">
        <v>1834</v>
      </c>
      <c r="E438" s="3" t="s">
        <v>29</v>
      </c>
      <c r="F438" s="2" t="s">
        <v>77</v>
      </c>
      <c r="G438" s="2" t="s">
        <v>1835</v>
      </c>
      <c r="H438" s="3" t="s">
        <v>78</v>
      </c>
      <c r="I438" s="5">
        <v>2620727506.1700001</v>
      </c>
      <c r="J438" s="5">
        <v>285560032.02999997</v>
      </c>
      <c r="K438" s="12">
        <v>11</v>
      </c>
      <c r="L438" s="5">
        <v>135814309.22</v>
      </c>
      <c r="M438" s="5">
        <v>135814309.22</v>
      </c>
      <c r="N438" s="5">
        <v>149745722.81</v>
      </c>
      <c r="O438" s="5">
        <f t="shared" si="18"/>
        <v>0</v>
      </c>
      <c r="P438" s="5"/>
      <c r="Q438" s="8" t="s">
        <v>2040</v>
      </c>
      <c r="R438" s="142"/>
    </row>
    <row r="439" spans="1:18" s="44" customFormat="1" ht="45" outlineLevel="2" x14ac:dyDescent="0.25">
      <c r="A439" s="3" t="s">
        <v>24</v>
      </c>
      <c r="B439" s="2" t="s">
        <v>1846</v>
      </c>
      <c r="C439" s="12" t="s">
        <v>42</v>
      </c>
      <c r="D439" s="2" t="s">
        <v>1847</v>
      </c>
      <c r="E439" s="3" t="s">
        <v>29</v>
      </c>
      <c r="F439" s="2" t="s">
        <v>122</v>
      </c>
      <c r="G439" s="2" t="s">
        <v>117</v>
      </c>
      <c r="H439" s="3" t="s">
        <v>78</v>
      </c>
      <c r="I439" s="5">
        <v>6302539.2000000002</v>
      </c>
      <c r="J439" s="5">
        <v>1132758</v>
      </c>
      <c r="K439" s="12">
        <v>18</v>
      </c>
      <c r="L439" s="5">
        <v>1132758</v>
      </c>
      <c r="M439" s="5">
        <v>1132758</v>
      </c>
      <c r="N439" s="5"/>
      <c r="O439" s="5">
        <f t="shared" si="18"/>
        <v>0</v>
      </c>
      <c r="P439" s="5"/>
      <c r="Q439" s="8" t="s">
        <v>2033</v>
      </c>
      <c r="R439" s="142"/>
    </row>
    <row r="440" spans="1:18" s="44" customFormat="1" ht="45" outlineLevel="2" x14ac:dyDescent="0.25">
      <c r="A440" s="3" t="s">
        <v>24</v>
      </c>
      <c r="B440" s="2" t="s">
        <v>1855</v>
      </c>
      <c r="C440" s="12" t="s">
        <v>42</v>
      </c>
      <c r="D440" s="2" t="s">
        <v>1857</v>
      </c>
      <c r="E440" s="3" t="s">
        <v>29</v>
      </c>
      <c r="F440" s="2" t="s">
        <v>122</v>
      </c>
      <c r="G440" s="2" t="s">
        <v>1856</v>
      </c>
      <c r="H440" s="3" t="s">
        <v>78</v>
      </c>
      <c r="I440" s="5">
        <v>332972.40000000002</v>
      </c>
      <c r="J440" s="5">
        <v>69102</v>
      </c>
      <c r="K440" s="12">
        <v>21</v>
      </c>
      <c r="L440" s="5">
        <v>69102</v>
      </c>
      <c r="M440" s="5">
        <v>69102</v>
      </c>
      <c r="N440" s="5"/>
      <c r="O440" s="5">
        <f t="shared" si="18"/>
        <v>0</v>
      </c>
      <c r="P440" s="5"/>
      <c r="Q440" s="8"/>
      <c r="R440" s="142"/>
    </row>
    <row r="441" spans="1:18" s="44" customFormat="1" ht="45" outlineLevel="2" x14ac:dyDescent="0.25">
      <c r="A441" s="3" t="s">
        <v>24</v>
      </c>
      <c r="B441" s="2" t="s">
        <v>1855</v>
      </c>
      <c r="C441" s="12" t="s">
        <v>42</v>
      </c>
      <c r="D441" s="2" t="s">
        <v>1858</v>
      </c>
      <c r="E441" s="3" t="s">
        <v>29</v>
      </c>
      <c r="F441" s="2" t="s">
        <v>122</v>
      </c>
      <c r="G441" s="2" t="s">
        <v>1305</v>
      </c>
      <c r="H441" s="3" t="s">
        <v>78</v>
      </c>
      <c r="I441" s="5">
        <v>23143.26</v>
      </c>
      <c r="J441" s="5">
        <v>4552.68</v>
      </c>
      <c r="K441" s="12">
        <v>20</v>
      </c>
      <c r="L441" s="5">
        <v>4552.68</v>
      </c>
      <c r="M441" s="5">
        <v>4552.68</v>
      </c>
      <c r="N441" s="5"/>
      <c r="O441" s="5">
        <f t="shared" si="18"/>
        <v>0</v>
      </c>
      <c r="P441" s="5" t="s">
        <v>2041</v>
      </c>
      <c r="Q441" s="8" t="s">
        <v>2677</v>
      </c>
      <c r="R441" s="142"/>
    </row>
    <row r="442" spans="1:18" s="44" customFormat="1" ht="45" outlineLevel="2" x14ac:dyDescent="0.25">
      <c r="A442" s="3" t="s">
        <v>24</v>
      </c>
      <c r="B442" s="2" t="s">
        <v>1875</v>
      </c>
      <c r="C442" s="12" t="s">
        <v>42</v>
      </c>
      <c r="D442" s="2" t="s">
        <v>1876</v>
      </c>
      <c r="E442" s="3" t="s">
        <v>29</v>
      </c>
      <c r="F442" s="2" t="s">
        <v>122</v>
      </c>
      <c r="G442" s="2" t="s">
        <v>360</v>
      </c>
      <c r="H442" s="3" t="s">
        <v>78</v>
      </c>
      <c r="I442" s="5">
        <v>29287009.199999999</v>
      </c>
      <c r="J442" s="5">
        <v>3288516</v>
      </c>
      <c r="K442" s="12">
        <v>11</v>
      </c>
      <c r="L442" s="5">
        <v>3288516</v>
      </c>
      <c r="M442" s="5">
        <v>1895788.8</v>
      </c>
      <c r="N442" s="5">
        <v>1392727.2</v>
      </c>
      <c r="O442" s="5">
        <f t="shared" si="18"/>
        <v>1392727.2</v>
      </c>
      <c r="P442" s="40">
        <v>45548</v>
      </c>
      <c r="Q442" s="8" t="s">
        <v>2159</v>
      </c>
      <c r="R442" s="142"/>
    </row>
    <row r="443" spans="1:18" s="44" customFormat="1" ht="45" outlineLevel="2" x14ac:dyDescent="0.25">
      <c r="A443" s="3" t="s">
        <v>24</v>
      </c>
      <c r="B443" s="2" t="s">
        <v>1875</v>
      </c>
      <c r="C443" s="12" t="s">
        <v>42</v>
      </c>
      <c r="D443" s="2" t="s">
        <v>1876</v>
      </c>
      <c r="E443" s="3" t="s">
        <v>29</v>
      </c>
      <c r="F443" s="2" t="s">
        <v>1877</v>
      </c>
      <c r="G443" s="2" t="s">
        <v>360</v>
      </c>
      <c r="H443" s="3" t="s">
        <v>107</v>
      </c>
      <c r="I443" s="5">
        <v>29287009.199999999</v>
      </c>
      <c r="J443" s="5">
        <v>12059000.4</v>
      </c>
      <c r="K443" s="12">
        <v>41</v>
      </c>
      <c r="L443" s="5">
        <v>12059000.4</v>
      </c>
      <c r="M443" s="5">
        <v>12059000.4</v>
      </c>
      <c r="N443" s="5"/>
      <c r="O443" s="5">
        <f t="shared" si="18"/>
        <v>0</v>
      </c>
      <c r="P443" s="5"/>
      <c r="Q443" s="8" t="s">
        <v>2160</v>
      </c>
      <c r="R443" s="142"/>
    </row>
    <row r="444" spans="1:18" s="44" customFormat="1" ht="45" outlineLevel="2" x14ac:dyDescent="0.25">
      <c r="A444" s="3" t="s">
        <v>24</v>
      </c>
      <c r="B444" s="2" t="s">
        <v>1890</v>
      </c>
      <c r="C444" s="12" t="s">
        <v>42</v>
      </c>
      <c r="D444" s="2" t="s">
        <v>1891</v>
      </c>
      <c r="E444" s="3" t="s">
        <v>29</v>
      </c>
      <c r="F444" s="2" t="s">
        <v>1892</v>
      </c>
      <c r="G444" s="2" t="s">
        <v>1893</v>
      </c>
      <c r="H444" s="3" t="s">
        <v>110</v>
      </c>
      <c r="I444" s="5">
        <v>1525809.6</v>
      </c>
      <c r="J444" s="5">
        <v>1525809.6</v>
      </c>
      <c r="K444" s="12">
        <v>100</v>
      </c>
      <c r="L444" s="5">
        <f t="shared" ref="L444:L492" si="19">I444*40%</f>
        <v>610323.84000000008</v>
      </c>
      <c r="M444" s="5"/>
      <c r="N444" s="5">
        <v>1525809.6</v>
      </c>
      <c r="O444" s="5">
        <f t="shared" si="18"/>
        <v>610323.84000000008</v>
      </c>
      <c r="P444" s="42">
        <v>45498</v>
      </c>
      <c r="Q444" s="8" t="s">
        <v>2042</v>
      </c>
      <c r="R444" s="142"/>
    </row>
    <row r="445" spans="1:18" ht="30" outlineLevel="2" x14ac:dyDescent="0.2">
      <c r="A445" s="3" t="s">
        <v>24</v>
      </c>
      <c r="B445" s="2" t="s">
        <v>1894</v>
      </c>
      <c r="C445" s="12" t="s">
        <v>42</v>
      </c>
      <c r="D445" s="2" t="s">
        <v>1895</v>
      </c>
      <c r="E445" s="3" t="s">
        <v>29</v>
      </c>
      <c r="F445" s="2" t="s">
        <v>139</v>
      </c>
      <c r="G445" s="2" t="s">
        <v>1896</v>
      </c>
      <c r="H445" s="3" t="s">
        <v>78</v>
      </c>
      <c r="I445" s="5">
        <v>334890843.60000002</v>
      </c>
      <c r="J445" s="5">
        <v>93914990.400000006</v>
      </c>
      <c r="K445" s="12">
        <v>28</v>
      </c>
      <c r="L445" s="5">
        <v>93914990.400000006</v>
      </c>
      <c r="M445" s="5">
        <v>93914990.400000006</v>
      </c>
      <c r="N445" s="5"/>
      <c r="O445" s="5">
        <f t="shared" si="18"/>
        <v>0</v>
      </c>
      <c r="P445" s="5"/>
      <c r="Q445" s="8" t="s">
        <v>2161</v>
      </c>
      <c r="R445" s="141"/>
    </row>
    <row r="446" spans="1:18" s="44" customFormat="1" ht="30" outlineLevel="2" x14ac:dyDescent="0.25">
      <c r="A446" s="3" t="s">
        <v>24</v>
      </c>
      <c r="B446" s="2" t="s">
        <v>1894</v>
      </c>
      <c r="C446" s="12" t="s">
        <v>42</v>
      </c>
      <c r="D446" s="2" t="s">
        <v>1897</v>
      </c>
      <c r="E446" s="3" t="s">
        <v>29</v>
      </c>
      <c r="F446" s="2" t="s">
        <v>139</v>
      </c>
      <c r="G446" s="2" t="s">
        <v>547</v>
      </c>
      <c r="H446" s="3" t="s">
        <v>78</v>
      </c>
      <c r="I446" s="5">
        <v>68508610.799999997</v>
      </c>
      <c r="J446" s="5">
        <v>18365001.600000001</v>
      </c>
      <c r="K446" s="12">
        <v>27</v>
      </c>
      <c r="L446" s="5">
        <v>18365001.600000001</v>
      </c>
      <c r="M446" s="5">
        <v>18365001.600000001</v>
      </c>
      <c r="N446" s="5"/>
      <c r="O446" s="5">
        <f t="shared" si="18"/>
        <v>0</v>
      </c>
      <c r="P446" s="5"/>
      <c r="Q446" s="8" t="s">
        <v>2162</v>
      </c>
      <c r="R446" s="142"/>
    </row>
    <row r="447" spans="1:18" s="44" customFormat="1" ht="30" outlineLevel="2" x14ac:dyDescent="0.25">
      <c r="A447" s="3" t="s">
        <v>24</v>
      </c>
      <c r="B447" s="2" t="s">
        <v>1905</v>
      </c>
      <c r="C447" s="12" t="s">
        <v>42</v>
      </c>
      <c r="D447" s="2" t="s">
        <v>1906</v>
      </c>
      <c r="E447" s="3" t="s">
        <v>29</v>
      </c>
      <c r="F447" s="2" t="s">
        <v>1907</v>
      </c>
      <c r="G447" s="2" t="s">
        <v>117</v>
      </c>
      <c r="H447" s="3" t="s">
        <v>107</v>
      </c>
      <c r="I447" s="5">
        <v>25313748.41</v>
      </c>
      <c r="J447" s="5">
        <v>10613220.550000001</v>
      </c>
      <c r="K447" s="12">
        <v>42</v>
      </c>
      <c r="L447" s="5">
        <v>10613220.550000001</v>
      </c>
      <c r="M447" s="5">
        <v>10613220.550000001</v>
      </c>
      <c r="N447" s="5"/>
      <c r="O447" s="5">
        <f t="shared" si="18"/>
        <v>0</v>
      </c>
      <c r="P447" s="5"/>
      <c r="Q447" s="8" t="s">
        <v>2024</v>
      </c>
      <c r="R447" s="142"/>
    </row>
    <row r="448" spans="1:18" s="44" customFormat="1" ht="30" outlineLevel="2" x14ac:dyDescent="0.25">
      <c r="A448" s="3" t="s">
        <v>24</v>
      </c>
      <c r="B448" s="2" t="s">
        <v>1915</v>
      </c>
      <c r="C448" s="12" t="s">
        <v>42</v>
      </c>
      <c r="D448" s="2" t="s">
        <v>2163</v>
      </c>
      <c r="E448" s="3" t="s">
        <v>1949</v>
      </c>
      <c r="F448" s="2" t="s">
        <v>1918</v>
      </c>
      <c r="G448" s="2" t="s">
        <v>1917</v>
      </c>
      <c r="H448" s="3" t="s">
        <v>107</v>
      </c>
      <c r="I448" s="5">
        <v>7320980.1600000001</v>
      </c>
      <c r="J448" s="5">
        <f>I448*0.8</f>
        <v>5856784.1280000005</v>
      </c>
      <c r="K448" s="12">
        <v>80</v>
      </c>
      <c r="L448" s="5">
        <f t="shared" si="19"/>
        <v>2928392.0640000002</v>
      </c>
      <c r="M448" s="5">
        <v>0</v>
      </c>
      <c r="N448" s="5">
        <v>5856784.1299999999</v>
      </c>
      <c r="O448" s="5">
        <f t="shared" si="18"/>
        <v>2928392.0640000002</v>
      </c>
      <c r="P448" s="42">
        <v>45611</v>
      </c>
      <c r="Q448" s="8" t="s">
        <v>2164</v>
      </c>
      <c r="R448" s="142"/>
    </row>
    <row r="449" spans="1:18" ht="30" outlineLevel="2" x14ac:dyDescent="0.2">
      <c r="A449" s="3" t="s">
        <v>24</v>
      </c>
      <c r="B449" s="2" t="s">
        <v>283</v>
      </c>
      <c r="C449" s="12" t="s">
        <v>42</v>
      </c>
      <c r="D449" s="2" t="s">
        <v>294</v>
      </c>
      <c r="E449" s="3" t="s">
        <v>29</v>
      </c>
      <c r="F449" s="2" t="s">
        <v>295</v>
      </c>
      <c r="G449" s="2" t="s">
        <v>296</v>
      </c>
      <c r="H449" s="3" t="s">
        <v>34</v>
      </c>
      <c r="I449" s="5">
        <v>2178970250.6199999</v>
      </c>
      <c r="J449" s="5">
        <f>L449*2</f>
        <v>1743176200.5</v>
      </c>
      <c r="K449" s="12">
        <v>40</v>
      </c>
      <c r="L449" s="5">
        <v>871588100.25</v>
      </c>
      <c r="M449" s="5">
        <v>871588100.25</v>
      </c>
      <c r="N449" s="5">
        <f>J449-M449</f>
        <v>871588100.25</v>
      </c>
      <c r="O449" s="5">
        <f t="shared" si="18"/>
        <v>0</v>
      </c>
      <c r="P449" s="5"/>
      <c r="Q449" s="8" t="s">
        <v>2525</v>
      </c>
      <c r="R449" s="141"/>
    </row>
    <row r="450" spans="1:18" s="44" customFormat="1" ht="30" outlineLevel="2" x14ac:dyDescent="0.25">
      <c r="A450" s="3" t="s">
        <v>24</v>
      </c>
      <c r="B450" s="2" t="s">
        <v>924</v>
      </c>
      <c r="C450" s="12" t="s">
        <v>42</v>
      </c>
      <c r="D450" s="2" t="s">
        <v>934</v>
      </c>
      <c r="E450" s="3" t="s">
        <v>29</v>
      </c>
      <c r="F450" s="2" t="s">
        <v>193</v>
      </c>
      <c r="G450" s="2" t="s">
        <v>925</v>
      </c>
      <c r="H450" s="3" t="s">
        <v>107</v>
      </c>
      <c r="I450" s="5">
        <v>879552.2</v>
      </c>
      <c r="J450" s="5">
        <v>879552.2</v>
      </c>
      <c r="K450" s="12">
        <v>100</v>
      </c>
      <c r="L450" s="5">
        <f t="shared" si="19"/>
        <v>351820.88</v>
      </c>
      <c r="M450" s="5"/>
      <c r="N450" s="5">
        <v>879552.2</v>
      </c>
      <c r="O450" s="5">
        <f t="shared" si="18"/>
        <v>351820.88</v>
      </c>
      <c r="P450" s="42">
        <v>45545</v>
      </c>
      <c r="Q450" s="39" t="s">
        <v>2944</v>
      </c>
      <c r="R450" s="142"/>
    </row>
    <row r="451" spans="1:18" s="44" customFormat="1" ht="30" outlineLevel="2" x14ac:dyDescent="0.25">
      <c r="A451" s="3" t="s">
        <v>24</v>
      </c>
      <c r="B451" s="2" t="s">
        <v>41</v>
      </c>
      <c r="C451" s="12" t="s">
        <v>42</v>
      </c>
      <c r="D451" s="2" t="s">
        <v>43</v>
      </c>
      <c r="E451" s="3" t="s">
        <v>1949</v>
      </c>
      <c r="F451" s="2" t="s">
        <v>45</v>
      </c>
      <c r="G451" s="2" t="s">
        <v>44</v>
      </c>
      <c r="H451" s="3" t="s">
        <v>34</v>
      </c>
      <c r="I451" s="5">
        <v>20218152.809999999</v>
      </c>
      <c r="J451" s="5">
        <v>12289308.59</v>
      </c>
      <c r="K451" s="12">
        <v>61</v>
      </c>
      <c r="L451" s="5">
        <f t="shared" si="19"/>
        <v>8087261.1239999998</v>
      </c>
      <c r="M451" s="5"/>
      <c r="N451" s="5">
        <v>12289308.59</v>
      </c>
      <c r="O451" s="5">
        <f t="shared" si="18"/>
        <v>8087261.1239999998</v>
      </c>
      <c r="P451" s="5" t="s">
        <v>2043</v>
      </c>
      <c r="Q451" s="8" t="s">
        <v>2678</v>
      </c>
      <c r="R451" s="142"/>
    </row>
    <row r="452" spans="1:18" ht="90" outlineLevel="2" x14ac:dyDescent="0.2">
      <c r="A452" s="3" t="s">
        <v>24</v>
      </c>
      <c r="B452" s="2" t="s">
        <v>2563</v>
      </c>
      <c r="C452" s="12" t="s">
        <v>42</v>
      </c>
      <c r="D452" s="2" t="s">
        <v>79</v>
      </c>
      <c r="E452" s="6" t="s">
        <v>1949</v>
      </c>
      <c r="F452" s="2" t="s">
        <v>45</v>
      </c>
      <c r="G452" s="2" t="s">
        <v>75</v>
      </c>
      <c r="H452" s="3" t="s">
        <v>34</v>
      </c>
      <c r="I452" s="5">
        <v>229709823.15000001</v>
      </c>
      <c r="J452" s="5">
        <v>144462252.12</v>
      </c>
      <c r="K452" s="12">
        <v>63</v>
      </c>
      <c r="L452" s="5">
        <f t="shared" si="19"/>
        <v>91883929.260000005</v>
      </c>
      <c r="M452" s="5"/>
      <c r="N452" s="5">
        <v>144462252.12</v>
      </c>
      <c r="O452" s="5">
        <f t="shared" si="18"/>
        <v>91883929.260000005</v>
      </c>
      <c r="P452" s="5"/>
      <c r="Q452" s="39" t="s">
        <v>2943</v>
      </c>
      <c r="R452" s="141"/>
    </row>
    <row r="453" spans="1:18" s="44" customFormat="1" ht="75" outlineLevel="2" x14ac:dyDescent="0.25">
      <c r="A453" s="12" t="s">
        <v>24</v>
      </c>
      <c r="B453" s="39" t="s">
        <v>196</v>
      </c>
      <c r="C453" s="12" t="s">
        <v>42</v>
      </c>
      <c r="D453" s="39" t="s">
        <v>200</v>
      </c>
      <c r="E453" s="6" t="s">
        <v>1949</v>
      </c>
      <c r="F453" s="39" t="s">
        <v>45</v>
      </c>
      <c r="G453" s="8" t="s">
        <v>198</v>
      </c>
      <c r="H453" s="12" t="s">
        <v>34</v>
      </c>
      <c r="I453" s="57">
        <v>17924501.760000002</v>
      </c>
      <c r="J453" s="57">
        <v>11270337.41</v>
      </c>
      <c r="K453" s="12">
        <v>63</v>
      </c>
      <c r="L453" s="5">
        <f t="shared" si="19"/>
        <v>7169800.7040000008</v>
      </c>
      <c r="M453" s="57"/>
      <c r="N453" s="57">
        <v>11270337.41</v>
      </c>
      <c r="O453" s="5">
        <f t="shared" si="18"/>
        <v>7169800.7040000008</v>
      </c>
      <c r="P453" s="40">
        <v>45553</v>
      </c>
      <c r="Q453" s="8" t="s">
        <v>2570</v>
      </c>
      <c r="R453" s="142"/>
    </row>
    <row r="454" spans="1:18" s="44" customFormat="1" ht="30" outlineLevel="2" x14ac:dyDescent="0.25">
      <c r="A454" s="3" t="s">
        <v>24</v>
      </c>
      <c r="B454" s="2" t="s">
        <v>342</v>
      </c>
      <c r="C454" s="12" t="s">
        <v>42</v>
      </c>
      <c r="D454" s="2" t="s">
        <v>347</v>
      </c>
      <c r="E454" s="3" t="s">
        <v>1949</v>
      </c>
      <c r="F454" s="2" t="s">
        <v>349</v>
      </c>
      <c r="G454" s="2" t="s">
        <v>348</v>
      </c>
      <c r="H454" s="3" t="s">
        <v>34</v>
      </c>
      <c r="I454" s="5">
        <v>495466.8</v>
      </c>
      <c r="J454" s="5">
        <v>396373.44</v>
      </c>
      <c r="K454" s="12">
        <v>77</v>
      </c>
      <c r="L454" s="5">
        <f t="shared" si="19"/>
        <v>198186.72</v>
      </c>
      <c r="M454" s="5"/>
      <c r="N454" s="5">
        <v>396373.44</v>
      </c>
      <c r="O454" s="5">
        <f t="shared" si="18"/>
        <v>198186.72</v>
      </c>
      <c r="P454" s="5"/>
      <c r="Q454" s="8" t="s">
        <v>2679</v>
      </c>
      <c r="R454" s="142"/>
    </row>
    <row r="455" spans="1:18" s="44" customFormat="1" ht="45" outlineLevel="2" x14ac:dyDescent="0.25">
      <c r="A455" s="3" t="s">
        <v>24</v>
      </c>
      <c r="B455" s="2" t="s">
        <v>373</v>
      </c>
      <c r="C455" s="12" t="s">
        <v>42</v>
      </c>
      <c r="D455" s="2" t="s">
        <v>378</v>
      </c>
      <c r="E455" s="3" t="s">
        <v>1949</v>
      </c>
      <c r="F455" s="2" t="s">
        <v>379</v>
      </c>
      <c r="G455" s="2" t="s">
        <v>375</v>
      </c>
      <c r="H455" s="3" t="s">
        <v>380</v>
      </c>
      <c r="I455" s="5">
        <v>1803513.6</v>
      </c>
      <c r="J455" s="5">
        <v>944697.6</v>
      </c>
      <c r="K455" s="12">
        <v>52</v>
      </c>
      <c r="L455" s="5">
        <f t="shared" si="19"/>
        <v>721405.44000000006</v>
      </c>
      <c r="M455" s="5"/>
      <c r="N455" s="5">
        <v>944697.6</v>
      </c>
      <c r="O455" s="5">
        <f t="shared" si="18"/>
        <v>721405.44000000006</v>
      </c>
      <c r="P455" s="5" t="s">
        <v>1983</v>
      </c>
      <c r="Q455" s="8" t="s">
        <v>2571</v>
      </c>
      <c r="R455" s="142"/>
    </row>
    <row r="456" spans="1:18" ht="75" outlineLevel="2" x14ac:dyDescent="0.2">
      <c r="A456" s="3" t="s">
        <v>24</v>
      </c>
      <c r="B456" s="2" t="s">
        <v>2666</v>
      </c>
      <c r="C456" s="12" t="s">
        <v>42</v>
      </c>
      <c r="D456" s="2" t="s">
        <v>387</v>
      </c>
      <c r="E456" s="6" t="s">
        <v>1949</v>
      </c>
      <c r="F456" s="2" t="s">
        <v>45</v>
      </c>
      <c r="G456" s="2" t="s">
        <v>203</v>
      </c>
      <c r="H456" s="3" t="s">
        <v>34</v>
      </c>
      <c r="I456" s="5">
        <v>456834989.29000002</v>
      </c>
      <c r="J456" s="5">
        <v>295877880.37</v>
      </c>
      <c r="K456" s="12">
        <v>65</v>
      </c>
      <c r="L456" s="5">
        <f t="shared" si="19"/>
        <v>182733995.71600002</v>
      </c>
      <c r="M456" s="5">
        <v>127823842.41</v>
      </c>
      <c r="N456" s="5">
        <v>295877880.37</v>
      </c>
      <c r="O456" s="5">
        <f t="shared" si="18"/>
        <v>54910153.306000024</v>
      </c>
      <c r="P456" s="5"/>
      <c r="Q456" s="8" t="s">
        <v>2680</v>
      </c>
      <c r="R456" s="141"/>
    </row>
    <row r="457" spans="1:18" s="44" customFormat="1" ht="75" outlineLevel="2" x14ac:dyDescent="0.25">
      <c r="A457" s="3" t="s">
        <v>24</v>
      </c>
      <c r="B457" s="2" t="s">
        <v>395</v>
      </c>
      <c r="C457" s="12" t="s">
        <v>42</v>
      </c>
      <c r="D457" s="2" t="s">
        <v>399</v>
      </c>
      <c r="E457" s="3" t="s">
        <v>1949</v>
      </c>
      <c r="F457" s="2" t="s">
        <v>45</v>
      </c>
      <c r="G457" s="2" t="s">
        <v>398</v>
      </c>
      <c r="H457" s="3" t="s">
        <v>34</v>
      </c>
      <c r="I457" s="5">
        <v>4874502</v>
      </c>
      <c r="J457" s="5">
        <v>3052900.8</v>
      </c>
      <c r="K457" s="12">
        <v>63</v>
      </c>
      <c r="L457" s="5">
        <f t="shared" si="19"/>
        <v>1949800.8</v>
      </c>
      <c r="M457" s="5"/>
      <c r="N457" s="5">
        <v>3052900.8</v>
      </c>
      <c r="O457" s="5">
        <f t="shared" si="18"/>
        <v>1949800.8</v>
      </c>
      <c r="P457" s="5"/>
      <c r="Q457" s="8" t="s">
        <v>2681</v>
      </c>
      <c r="R457" s="142"/>
    </row>
    <row r="458" spans="1:18" s="44" customFormat="1" ht="43.5" customHeight="1" outlineLevel="2" x14ac:dyDescent="0.25">
      <c r="A458" s="3" t="s">
        <v>24</v>
      </c>
      <c r="B458" s="2" t="s">
        <v>2792</v>
      </c>
      <c r="C458" s="12" t="s">
        <v>42</v>
      </c>
      <c r="D458" s="2" t="s">
        <v>2795</v>
      </c>
      <c r="E458" s="3" t="s">
        <v>1949</v>
      </c>
      <c r="F458" s="2" t="s">
        <v>363</v>
      </c>
      <c r="G458" s="2" t="s">
        <v>500</v>
      </c>
      <c r="H458" s="3" t="s">
        <v>78</v>
      </c>
      <c r="I458" s="5">
        <v>107463.84</v>
      </c>
      <c r="J458" s="5">
        <v>107463.84</v>
      </c>
      <c r="K458" s="12">
        <v>22</v>
      </c>
      <c r="L458" s="62">
        <f t="shared" si="19"/>
        <v>42985.536</v>
      </c>
      <c r="M458" s="5"/>
      <c r="N458" s="5">
        <v>107463.84</v>
      </c>
      <c r="O458" s="5">
        <f t="shared" si="18"/>
        <v>42985.536</v>
      </c>
      <c r="P458" s="67" t="s">
        <v>2793</v>
      </c>
      <c r="Q458" s="8" t="s">
        <v>2794</v>
      </c>
      <c r="R458" s="142"/>
    </row>
    <row r="459" spans="1:18" s="44" customFormat="1" ht="30" outlineLevel="2" x14ac:dyDescent="0.25">
      <c r="A459" s="3" t="s">
        <v>24</v>
      </c>
      <c r="B459" s="2" t="s">
        <v>2792</v>
      </c>
      <c r="C459" s="12" t="s">
        <v>42</v>
      </c>
      <c r="D459" s="2" t="s">
        <v>499</v>
      </c>
      <c r="E459" s="3" t="s">
        <v>1949</v>
      </c>
      <c r="F459" s="2" t="s">
        <v>501</v>
      </c>
      <c r="G459" s="2" t="s">
        <v>500</v>
      </c>
      <c r="H459" s="3" t="s">
        <v>34</v>
      </c>
      <c r="I459" s="5">
        <v>384915.94</v>
      </c>
      <c r="J459" s="5">
        <v>384915.94</v>
      </c>
      <c r="K459" s="12">
        <v>61</v>
      </c>
      <c r="L459" s="62">
        <f t="shared" si="19"/>
        <v>153966.37600000002</v>
      </c>
      <c r="M459" s="5"/>
      <c r="N459" s="5">
        <v>74143.570000000007</v>
      </c>
      <c r="O459" s="5">
        <f t="shared" si="18"/>
        <v>153966.37600000002</v>
      </c>
      <c r="P459" s="40">
        <v>45545</v>
      </c>
      <c r="Q459" s="39" t="s">
        <v>2946</v>
      </c>
      <c r="R459" s="142"/>
    </row>
    <row r="460" spans="1:18" ht="30" outlineLevel="2" x14ac:dyDescent="0.2">
      <c r="A460" s="3" t="s">
        <v>24</v>
      </c>
      <c r="B460" s="2" t="s">
        <v>539</v>
      </c>
      <c r="C460" s="12" t="s">
        <v>42</v>
      </c>
      <c r="D460" s="2" t="s">
        <v>545</v>
      </c>
      <c r="E460" s="6" t="s">
        <v>1949</v>
      </c>
      <c r="F460" s="2" t="s">
        <v>546</v>
      </c>
      <c r="G460" s="2" t="s">
        <v>547</v>
      </c>
      <c r="H460" s="3" t="s">
        <v>308</v>
      </c>
      <c r="I460" s="5">
        <v>72402815.099999994</v>
      </c>
      <c r="J460" s="5">
        <v>57922252.079999998</v>
      </c>
      <c r="K460" s="12">
        <v>80</v>
      </c>
      <c r="L460" s="5">
        <f t="shared" si="19"/>
        <v>28961126.039999999</v>
      </c>
      <c r="M460" s="5"/>
      <c r="N460" s="5">
        <v>57922252.079999998</v>
      </c>
      <c r="O460" s="5">
        <f t="shared" si="18"/>
        <v>28961126.039999999</v>
      </c>
      <c r="P460" s="40">
        <v>45562</v>
      </c>
      <c r="Q460" s="39" t="s">
        <v>2945</v>
      </c>
      <c r="R460" s="141"/>
    </row>
    <row r="461" spans="1:18" ht="120" outlineLevel="2" x14ac:dyDescent="0.2">
      <c r="A461" s="3" t="s">
        <v>24</v>
      </c>
      <c r="B461" s="2" t="s">
        <v>585</v>
      </c>
      <c r="C461" s="12" t="s">
        <v>42</v>
      </c>
      <c r="D461" s="2" t="s">
        <v>591</v>
      </c>
      <c r="E461" s="6" t="s">
        <v>1949</v>
      </c>
      <c r="F461" s="2" t="s">
        <v>45</v>
      </c>
      <c r="G461" s="2" t="s">
        <v>75</v>
      </c>
      <c r="H461" s="3" t="s">
        <v>78</v>
      </c>
      <c r="I461" s="5">
        <v>195135841.19999999</v>
      </c>
      <c r="J461" s="5">
        <v>85848238.799999997</v>
      </c>
      <c r="K461" s="12">
        <v>28</v>
      </c>
      <c r="L461" s="5">
        <v>34339295.520000003</v>
      </c>
      <c r="M461" s="5"/>
      <c r="N461" s="5">
        <v>34339295.520000003</v>
      </c>
      <c r="O461" s="5">
        <f t="shared" si="18"/>
        <v>34339295.520000003</v>
      </c>
      <c r="P461" s="5"/>
      <c r="Q461" s="39" t="s">
        <v>2947</v>
      </c>
      <c r="R461" s="141"/>
    </row>
    <row r="462" spans="1:18" s="44" customFormat="1" ht="45" outlineLevel="2" x14ac:dyDescent="0.25">
      <c r="A462" s="3" t="s">
        <v>24</v>
      </c>
      <c r="B462" s="2" t="s">
        <v>2668</v>
      </c>
      <c r="C462" s="12" t="s">
        <v>42</v>
      </c>
      <c r="D462" s="2" t="s">
        <v>658</v>
      </c>
      <c r="E462" s="3" t="s">
        <v>1949</v>
      </c>
      <c r="F462" s="2" t="s">
        <v>660</v>
      </c>
      <c r="G462" s="2" t="s">
        <v>659</v>
      </c>
      <c r="H462" s="3" t="s">
        <v>34</v>
      </c>
      <c r="I462" s="5">
        <v>828111.6</v>
      </c>
      <c r="J462" s="5">
        <v>650862</v>
      </c>
      <c r="K462" s="12">
        <v>79</v>
      </c>
      <c r="L462" s="5">
        <f t="shared" si="19"/>
        <v>331244.64</v>
      </c>
      <c r="M462" s="5"/>
      <c r="N462" s="5">
        <v>650862</v>
      </c>
      <c r="O462" s="5">
        <f t="shared" si="18"/>
        <v>331244.64</v>
      </c>
      <c r="P462" s="5"/>
      <c r="Q462" s="8" t="s">
        <v>2045</v>
      </c>
      <c r="R462" s="142"/>
    </row>
    <row r="463" spans="1:18" ht="45" outlineLevel="2" x14ac:dyDescent="0.2">
      <c r="A463" s="3" t="s">
        <v>24</v>
      </c>
      <c r="B463" s="2" t="s">
        <v>667</v>
      </c>
      <c r="C463" s="12" t="s">
        <v>42</v>
      </c>
      <c r="D463" s="2" t="s">
        <v>2165</v>
      </c>
      <c r="E463" s="6" t="s">
        <v>1949</v>
      </c>
      <c r="F463" s="2" t="s">
        <v>45</v>
      </c>
      <c r="G463" s="2" t="s">
        <v>670</v>
      </c>
      <c r="H463" s="3" t="s">
        <v>34</v>
      </c>
      <c r="I463" s="5">
        <v>36313200</v>
      </c>
      <c r="J463" s="5">
        <f>I463*0.8</f>
        <v>29050560</v>
      </c>
      <c r="K463" s="12">
        <v>80</v>
      </c>
      <c r="L463" s="5">
        <f t="shared" si="19"/>
        <v>14525280</v>
      </c>
      <c r="M463" s="5"/>
      <c r="N463" s="5">
        <f>I463*0.8</f>
        <v>29050560</v>
      </c>
      <c r="O463" s="5">
        <f t="shared" si="18"/>
        <v>14525280</v>
      </c>
      <c r="P463" s="42">
        <v>45556</v>
      </c>
      <c r="Q463" s="8" t="s">
        <v>2166</v>
      </c>
      <c r="R463" s="141"/>
    </row>
    <row r="464" spans="1:18" s="44" customFormat="1" ht="45" outlineLevel="2" x14ac:dyDescent="0.25">
      <c r="A464" s="3" t="s">
        <v>24</v>
      </c>
      <c r="B464" s="2" t="s">
        <v>667</v>
      </c>
      <c r="C464" s="12" t="s">
        <v>42</v>
      </c>
      <c r="D464" s="2" t="s">
        <v>2167</v>
      </c>
      <c r="E464" s="3" t="s">
        <v>29</v>
      </c>
      <c r="F464" s="2" t="s">
        <v>45</v>
      </c>
      <c r="G464" s="2" t="s">
        <v>668</v>
      </c>
      <c r="H464" s="3" t="s">
        <v>34</v>
      </c>
      <c r="I464" s="5">
        <v>75657.78</v>
      </c>
      <c r="J464" s="5">
        <v>75657.78</v>
      </c>
      <c r="K464" s="12">
        <v>100</v>
      </c>
      <c r="L464" s="5">
        <v>75657.78</v>
      </c>
      <c r="M464" s="5">
        <v>75657.78</v>
      </c>
      <c r="N464" s="5"/>
      <c r="O464" s="5">
        <f t="shared" si="18"/>
        <v>0</v>
      </c>
      <c r="P464" s="5"/>
      <c r="Q464" s="8"/>
      <c r="R464" s="142"/>
    </row>
    <row r="465" spans="1:18" s="44" customFormat="1" ht="45" outlineLevel="2" x14ac:dyDescent="0.25">
      <c r="A465" s="3" t="s">
        <v>24</v>
      </c>
      <c r="B465" s="2" t="s">
        <v>667</v>
      </c>
      <c r="C465" s="12" t="s">
        <v>42</v>
      </c>
      <c r="D465" s="2" t="s">
        <v>2168</v>
      </c>
      <c r="E465" s="3" t="s">
        <v>1949</v>
      </c>
      <c r="F465" s="2" t="s">
        <v>45</v>
      </c>
      <c r="G465" s="2" t="s">
        <v>668</v>
      </c>
      <c r="H465" s="3" t="s">
        <v>34</v>
      </c>
      <c r="I465" s="5">
        <v>349678.02</v>
      </c>
      <c r="J465" s="5">
        <f>I465*0.8</f>
        <v>279742.41600000003</v>
      </c>
      <c r="K465" s="12">
        <v>80</v>
      </c>
      <c r="L465" s="5">
        <f t="shared" si="19"/>
        <v>139871.20800000001</v>
      </c>
      <c r="M465" s="5"/>
      <c r="N465" s="5">
        <v>279742.42</v>
      </c>
      <c r="O465" s="5">
        <f t="shared" si="18"/>
        <v>139871.20800000001</v>
      </c>
      <c r="P465" s="40">
        <v>45556</v>
      </c>
      <c r="Q465" s="39" t="s">
        <v>2166</v>
      </c>
      <c r="R465" s="142"/>
    </row>
    <row r="466" spans="1:18" ht="30" outlineLevel="2" x14ac:dyDescent="0.2">
      <c r="A466" s="3" t="s">
        <v>24</v>
      </c>
      <c r="B466" s="2" t="s">
        <v>726</v>
      </c>
      <c r="C466" s="12" t="s">
        <v>42</v>
      </c>
      <c r="D466" s="2" t="s">
        <v>731</v>
      </c>
      <c r="E466" s="3" t="s">
        <v>1949</v>
      </c>
      <c r="F466" s="2" t="s">
        <v>732</v>
      </c>
      <c r="G466" s="2" t="s">
        <v>727</v>
      </c>
      <c r="H466" s="3" t="s">
        <v>34</v>
      </c>
      <c r="I466" s="5">
        <v>23050170.34</v>
      </c>
      <c r="J466" s="5">
        <v>14493190.119999999</v>
      </c>
      <c r="K466" s="12">
        <v>63</v>
      </c>
      <c r="L466" s="5">
        <f t="shared" si="19"/>
        <v>9220068.1359999999</v>
      </c>
      <c r="M466" s="5"/>
      <c r="N466" s="5">
        <v>14493190.119999999</v>
      </c>
      <c r="O466" s="5">
        <f t="shared" si="18"/>
        <v>9220068.1359999999</v>
      </c>
      <c r="P466" s="57" t="s">
        <v>1983</v>
      </c>
      <c r="Q466" s="39" t="s">
        <v>1992</v>
      </c>
      <c r="R466" s="141"/>
    </row>
    <row r="467" spans="1:18" s="44" customFormat="1" ht="75" outlineLevel="2" x14ac:dyDescent="0.25">
      <c r="A467" s="12" t="s">
        <v>24</v>
      </c>
      <c r="B467" s="39" t="s">
        <v>742</v>
      </c>
      <c r="C467" s="12" t="s">
        <v>42</v>
      </c>
      <c r="D467" s="39" t="s">
        <v>746</v>
      </c>
      <c r="E467" s="12" t="s">
        <v>1949</v>
      </c>
      <c r="F467" s="39" t="s">
        <v>45</v>
      </c>
      <c r="G467" s="39" t="s">
        <v>743</v>
      </c>
      <c r="H467" s="12" t="s">
        <v>34</v>
      </c>
      <c r="I467" s="57">
        <v>1626432</v>
      </c>
      <c r="J467" s="57">
        <v>1113937.9199999999</v>
      </c>
      <c r="K467" s="12">
        <v>62</v>
      </c>
      <c r="L467" s="5">
        <f t="shared" si="19"/>
        <v>650572.80000000005</v>
      </c>
      <c r="M467" s="57"/>
      <c r="N467" s="57">
        <v>1113937.9199999999</v>
      </c>
      <c r="O467" s="5">
        <f t="shared" si="18"/>
        <v>650572.80000000005</v>
      </c>
      <c r="P467" s="57" t="s">
        <v>2044</v>
      </c>
      <c r="Q467" s="39" t="s">
        <v>2948</v>
      </c>
      <c r="R467" s="142"/>
    </row>
    <row r="468" spans="1:18" ht="90" outlineLevel="2" x14ac:dyDescent="0.2">
      <c r="A468" s="3" t="s">
        <v>24</v>
      </c>
      <c r="B468" s="2" t="s">
        <v>777</v>
      </c>
      <c r="C468" s="12" t="s">
        <v>42</v>
      </c>
      <c r="D468" s="2" t="s">
        <v>780</v>
      </c>
      <c r="E468" s="6" t="s">
        <v>1949</v>
      </c>
      <c r="F468" s="2" t="s">
        <v>781</v>
      </c>
      <c r="G468" s="2" t="s">
        <v>779</v>
      </c>
      <c r="H468" s="3" t="s">
        <v>386</v>
      </c>
      <c r="I468" s="5">
        <v>719800160.19000006</v>
      </c>
      <c r="J468" s="5">
        <v>309673180.88</v>
      </c>
      <c r="K468" s="12">
        <v>43</v>
      </c>
      <c r="L468" s="5">
        <f t="shared" si="19"/>
        <v>287920064.07600003</v>
      </c>
      <c r="M468" s="5"/>
      <c r="N468" s="5">
        <v>309673180.88</v>
      </c>
      <c r="O468" s="5">
        <f t="shared" si="18"/>
        <v>287920064.07600003</v>
      </c>
      <c r="P468" s="57" t="s">
        <v>2044</v>
      </c>
      <c r="Q468" s="39" t="s">
        <v>2046</v>
      </c>
      <c r="R468" s="141"/>
    </row>
    <row r="469" spans="1:18" ht="90" outlineLevel="2" x14ac:dyDescent="0.2">
      <c r="A469" s="3" t="s">
        <v>24</v>
      </c>
      <c r="B469" s="2" t="s">
        <v>777</v>
      </c>
      <c r="C469" s="12" t="s">
        <v>42</v>
      </c>
      <c r="D469" s="2" t="s">
        <v>786</v>
      </c>
      <c r="E469" s="6" t="s">
        <v>1949</v>
      </c>
      <c r="F469" s="2" t="s">
        <v>45</v>
      </c>
      <c r="G469" s="2" t="s">
        <v>785</v>
      </c>
      <c r="H469" s="3" t="s">
        <v>34</v>
      </c>
      <c r="I469" s="5">
        <v>499744859.12</v>
      </c>
      <c r="J469" s="5">
        <v>314741371.75999999</v>
      </c>
      <c r="K469" s="12">
        <v>63</v>
      </c>
      <c r="L469" s="5">
        <f t="shared" si="19"/>
        <v>199897943.648</v>
      </c>
      <c r="M469" s="5"/>
      <c r="N469" s="5">
        <v>314741371.75999999</v>
      </c>
      <c r="O469" s="5">
        <f t="shared" si="18"/>
        <v>199897943.648</v>
      </c>
      <c r="P469" s="5" t="s">
        <v>2044</v>
      </c>
      <c r="Q469" s="8" t="s">
        <v>2682</v>
      </c>
      <c r="R469" s="141"/>
    </row>
    <row r="470" spans="1:18" ht="45" outlineLevel="2" x14ac:dyDescent="0.2">
      <c r="A470" s="3" t="s">
        <v>24</v>
      </c>
      <c r="B470" s="2" t="s">
        <v>812</v>
      </c>
      <c r="C470" s="12" t="s">
        <v>42</v>
      </c>
      <c r="D470" s="2" t="s">
        <v>816</v>
      </c>
      <c r="E470" s="6" t="s">
        <v>1949</v>
      </c>
      <c r="F470" s="2" t="s">
        <v>817</v>
      </c>
      <c r="G470" s="2" t="s">
        <v>814</v>
      </c>
      <c r="H470" s="3" t="s">
        <v>107</v>
      </c>
      <c r="I470" s="5">
        <v>86148700.939999998</v>
      </c>
      <c r="J470" s="5">
        <v>68918960.75</v>
      </c>
      <c r="K470" s="12">
        <v>80</v>
      </c>
      <c r="L470" s="5">
        <f t="shared" si="19"/>
        <v>34459480.376000002</v>
      </c>
      <c r="M470" s="5"/>
      <c r="N470" s="5">
        <v>68918960.75</v>
      </c>
      <c r="O470" s="5">
        <f t="shared" si="18"/>
        <v>34459480.376000002</v>
      </c>
      <c r="P470" s="57" t="s">
        <v>2044</v>
      </c>
      <c r="Q470" s="39" t="s">
        <v>2949</v>
      </c>
      <c r="R470" s="141"/>
    </row>
    <row r="471" spans="1:18" s="44" customFormat="1" ht="75" outlineLevel="2" x14ac:dyDescent="0.25">
      <c r="A471" s="3" t="s">
        <v>24</v>
      </c>
      <c r="B471" s="2" t="s">
        <v>818</v>
      </c>
      <c r="C471" s="12" t="s">
        <v>42</v>
      </c>
      <c r="D471" s="2" t="s">
        <v>822</v>
      </c>
      <c r="E471" s="3" t="s">
        <v>1949</v>
      </c>
      <c r="F471" s="2" t="s">
        <v>465</v>
      </c>
      <c r="G471" s="2" t="s">
        <v>821</v>
      </c>
      <c r="H471" s="3" t="s">
        <v>34</v>
      </c>
      <c r="I471" s="5">
        <v>21057800.039999999</v>
      </c>
      <c r="J471" s="5">
        <v>16846240.030000001</v>
      </c>
      <c r="K471" s="12">
        <v>80</v>
      </c>
      <c r="L471" s="5">
        <f t="shared" si="19"/>
        <v>8423120.0160000008</v>
      </c>
      <c r="M471" s="5"/>
      <c r="N471" s="5">
        <v>16846240.030000001</v>
      </c>
      <c r="O471" s="5">
        <f t="shared" si="18"/>
        <v>8423120.0160000008</v>
      </c>
      <c r="P471" s="57"/>
      <c r="Q471" s="39" t="s">
        <v>2950</v>
      </c>
      <c r="R471" s="142"/>
    </row>
    <row r="472" spans="1:18" ht="24.75" customHeight="1" outlineLevel="2" x14ac:dyDescent="0.2">
      <c r="A472" s="12" t="s">
        <v>24</v>
      </c>
      <c r="B472" s="39" t="s">
        <v>829</v>
      </c>
      <c r="C472" s="12" t="s">
        <v>42</v>
      </c>
      <c r="D472" s="39" t="s">
        <v>2572</v>
      </c>
      <c r="E472" s="6" t="s">
        <v>1949</v>
      </c>
      <c r="F472" s="39" t="s">
        <v>45</v>
      </c>
      <c r="G472" s="39" t="s">
        <v>830</v>
      </c>
      <c r="H472" s="12" t="s">
        <v>34</v>
      </c>
      <c r="I472" s="57">
        <v>468348932.31</v>
      </c>
      <c r="J472" s="57">
        <v>281228013.38</v>
      </c>
      <c r="K472" s="12">
        <v>62</v>
      </c>
      <c r="L472" s="5">
        <v>112491205.34999999</v>
      </c>
      <c r="M472" s="57"/>
      <c r="N472" s="57">
        <v>281228013.38</v>
      </c>
      <c r="O472" s="5">
        <f t="shared" ref="O472:O495" si="20">L472-M472</f>
        <v>112491205.34999999</v>
      </c>
      <c r="P472" s="57" t="s">
        <v>2044</v>
      </c>
      <c r="Q472" s="39" t="s">
        <v>2951</v>
      </c>
      <c r="R472" s="141"/>
    </row>
    <row r="473" spans="1:18" s="44" customFormat="1" ht="60" outlineLevel="2" x14ac:dyDescent="0.25">
      <c r="A473" s="3" t="s">
        <v>24</v>
      </c>
      <c r="B473" s="2" t="s">
        <v>829</v>
      </c>
      <c r="C473" s="12" t="s">
        <v>42</v>
      </c>
      <c r="D473" s="2" t="s">
        <v>834</v>
      </c>
      <c r="E473" s="3" t="s">
        <v>1949</v>
      </c>
      <c r="F473" s="2" t="s">
        <v>45</v>
      </c>
      <c r="G473" s="2" t="s">
        <v>835</v>
      </c>
      <c r="H473" s="3" t="s">
        <v>34</v>
      </c>
      <c r="I473" s="5">
        <v>7450006.1299999999</v>
      </c>
      <c r="J473" s="5">
        <v>4628836.3</v>
      </c>
      <c r="K473" s="12">
        <v>62</v>
      </c>
      <c r="L473" s="5">
        <f t="shared" si="19"/>
        <v>2980002.452</v>
      </c>
      <c r="M473" s="5"/>
      <c r="N473" s="5">
        <v>4628836.3</v>
      </c>
      <c r="O473" s="5">
        <f t="shared" si="20"/>
        <v>2980002.452</v>
      </c>
      <c r="P473" s="57"/>
      <c r="Q473" s="39" t="s">
        <v>2952</v>
      </c>
      <c r="R473" s="142"/>
    </row>
    <row r="474" spans="1:18" s="44" customFormat="1" ht="45" outlineLevel="2" x14ac:dyDescent="0.25">
      <c r="A474" s="3" t="s">
        <v>24</v>
      </c>
      <c r="B474" s="2" t="s">
        <v>839</v>
      </c>
      <c r="C474" s="12" t="s">
        <v>42</v>
      </c>
      <c r="D474" s="2" t="s">
        <v>842</v>
      </c>
      <c r="E474" s="3" t="s">
        <v>1949</v>
      </c>
      <c r="F474" s="2" t="s">
        <v>45</v>
      </c>
      <c r="G474" s="2" t="s">
        <v>840</v>
      </c>
      <c r="H474" s="3" t="s">
        <v>34</v>
      </c>
      <c r="I474" s="5">
        <v>653031.36</v>
      </c>
      <c r="J474" s="5">
        <v>405741.31</v>
      </c>
      <c r="K474" s="12">
        <v>62</v>
      </c>
      <c r="L474" s="5">
        <f t="shared" si="19"/>
        <v>261212.54399999999</v>
      </c>
      <c r="M474" s="5"/>
      <c r="N474" s="5">
        <v>405741.31</v>
      </c>
      <c r="O474" s="5">
        <f t="shared" si="20"/>
        <v>261212.54399999999</v>
      </c>
      <c r="P474" s="40">
        <v>45548</v>
      </c>
      <c r="Q474" s="39" t="s">
        <v>2169</v>
      </c>
      <c r="R474" s="142"/>
    </row>
    <row r="475" spans="1:18" s="44" customFormat="1" ht="90" outlineLevel="2" x14ac:dyDescent="0.25">
      <c r="A475" s="6" t="s">
        <v>24</v>
      </c>
      <c r="B475" s="39" t="s">
        <v>888</v>
      </c>
      <c r="C475" s="12" t="s">
        <v>42</v>
      </c>
      <c r="D475" s="39" t="s">
        <v>891</v>
      </c>
      <c r="E475" s="12" t="s">
        <v>1949</v>
      </c>
      <c r="F475" s="39" t="s">
        <v>45</v>
      </c>
      <c r="G475" s="39" t="s">
        <v>890</v>
      </c>
      <c r="H475" s="12" t="s">
        <v>34</v>
      </c>
      <c r="I475" s="57">
        <v>4267616.58</v>
      </c>
      <c r="J475" s="57">
        <v>2216157.2599999998</v>
      </c>
      <c r="K475" s="12">
        <v>52</v>
      </c>
      <c r="L475" s="5">
        <f t="shared" si="19"/>
        <v>1707046.6320000002</v>
      </c>
      <c r="M475" s="57"/>
      <c r="N475" s="57">
        <v>2216157.2599999998</v>
      </c>
      <c r="O475" s="5">
        <f t="shared" si="20"/>
        <v>1707046.6320000002</v>
      </c>
      <c r="P475" s="57" t="s">
        <v>2044</v>
      </c>
      <c r="Q475" s="39" t="s">
        <v>2953</v>
      </c>
      <c r="R475" s="142"/>
    </row>
    <row r="476" spans="1:18" s="44" customFormat="1" ht="90" outlineLevel="2" x14ac:dyDescent="0.25">
      <c r="A476" s="3" t="s">
        <v>24</v>
      </c>
      <c r="B476" s="2" t="s">
        <v>936</v>
      </c>
      <c r="C476" s="12" t="s">
        <v>42</v>
      </c>
      <c r="D476" s="2" t="s">
        <v>939</v>
      </c>
      <c r="E476" s="3" t="s">
        <v>1949</v>
      </c>
      <c r="F476" s="2" t="s">
        <v>45</v>
      </c>
      <c r="G476" s="2" t="s">
        <v>937</v>
      </c>
      <c r="H476" s="3" t="s">
        <v>34</v>
      </c>
      <c r="I476" s="5">
        <v>7500282</v>
      </c>
      <c r="J476" s="5">
        <v>4696488</v>
      </c>
      <c r="K476" s="12">
        <v>63</v>
      </c>
      <c r="L476" s="5">
        <f t="shared" si="19"/>
        <v>3000112.8000000003</v>
      </c>
      <c r="M476" s="5"/>
      <c r="N476" s="5">
        <v>4696488</v>
      </c>
      <c r="O476" s="5">
        <f t="shared" si="20"/>
        <v>3000112.8000000003</v>
      </c>
      <c r="P476" s="5"/>
      <c r="Q476" s="8"/>
      <c r="R476" s="142"/>
    </row>
    <row r="477" spans="1:18" s="44" customFormat="1" ht="60" outlineLevel="2" x14ac:dyDescent="0.25">
      <c r="A477" s="3" t="s">
        <v>24</v>
      </c>
      <c r="B477" s="2" t="s">
        <v>1049</v>
      </c>
      <c r="C477" s="12" t="s">
        <v>42</v>
      </c>
      <c r="D477" s="2" t="s">
        <v>2170</v>
      </c>
      <c r="E477" s="3" t="s">
        <v>29</v>
      </c>
      <c r="F477" s="2" t="s">
        <v>363</v>
      </c>
      <c r="G477" s="2" t="s">
        <v>1051</v>
      </c>
      <c r="H477" s="3" t="s">
        <v>78</v>
      </c>
      <c r="I477" s="5">
        <v>888708.96</v>
      </c>
      <c r="J477" s="5">
        <v>888708.96</v>
      </c>
      <c r="K477" s="12">
        <v>100</v>
      </c>
      <c r="L477" s="5">
        <v>888708.96</v>
      </c>
      <c r="M477" s="5">
        <v>888708.96</v>
      </c>
      <c r="N477" s="5"/>
      <c r="O477" s="5">
        <f t="shared" si="20"/>
        <v>0</v>
      </c>
      <c r="P477" s="5"/>
      <c r="Q477" s="8"/>
      <c r="R477" s="142"/>
    </row>
    <row r="478" spans="1:18" s="44" customFormat="1" ht="30" outlineLevel="2" x14ac:dyDescent="0.25">
      <c r="A478" s="3" t="s">
        <v>24</v>
      </c>
      <c r="B478" s="2" t="s">
        <v>1049</v>
      </c>
      <c r="C478" s="12" t="s">
        <v>42</v>
      </c>
      <c r="D478" s="2" t="s">
        <v>1055</v>
      </c>
      <c r="E478" s="3" t="s">
        <v>1949</v>
      </c>
      <c r="F478" s="2" t="s">
        <v>122</v>
      </c>
      <c r="G478" s="2" t="s">
        <v>1051</v>
      </c>
      <c r="H478" s="3" t="s">
        <v>34</v>
      </c>
      <c r="I478" s="5">
        <v>860270.4</v>
      </c>
      <c r="J478" s="5">
        <f>I478*0.8</f>
        <v>688216.32000000007</v>
      </c>
      <c r="K478" s="12">
        <v>80</v>
      </c>
      <c r="L478" s="5">
        <f t="shared" si="19"/>
        <v>344108.16000000003</v>
      </c>
      <c r="M478" s="5"/>
      <c r="N478" s="5">
        <v>688216.32</v>
      </c>
      <c r="O478" s="5">
        <f t="shared" si="20"/>
        <v>344108.16000000003</v>
      </c>
      <c r="P478" s="40">
        <v>45611</v>
      </c>
      <c r="Q478" s="39" t="s">
        <v>2171</v>
      </c>
      <c r="R478" s="142"/>
    </row>
    <row r="479" spans="1:18" ht="60" outlineLevel="2" x14ac:dyDescent="0.2">
      <c r="A479" s="3" t="s">
        <v>24</v>
      </c>
      <c r="B479" s="2" t="s">
        <v>1171</v>
      </c>
      <c r="C479" s="12" t="s">
        <v>42</v>
      </c>
      <c r="D479" s="2" t="s">
        <v>1174</v>
      </c>
      <c r="E479" s="6" t="s">
        <v>1949</v>
      </c>
      <c r="F479" s="2" t="s">
        <v>1175</v>
      </c>
      <c r="G479" s="2" t="s">
        <v>1176</v>
      </c>
      <c r="H479" s="3" t="s">
        <v>34</v>
      </c>
      <c r="I479" s="5">
        <v>168017018.40000001</v>
      </c>
      <c r="J479" s="5">
        <v>134413614.72</v>
      </c>
      <c r="K479" s="12">
        <v>80</v>
      </c>
      <c r="L479" s="5">
        <f t="shared" si="19"/>
        <v>67206807.359999999</v>
      </c>
      <c r="M479" s="5"/>
      <c r="N479" s="5">
        <v>134413614.72</v>
      </c>
      <c r="O479" s="5">
        <f t="shared" si="20"/>
        <v>67206807.359999999</v>
      </c>
      <c r="P479" s="40">
        <v>45548</v>
      </c>
      <c r="Q479" s="39" t="s">
        <v>2954</v>
      </c>
      <c r="R479" s="141"/>
    </row>
    <row r="480" spans="1:18" s="44" customFormat="1" ht="75" outlineLevel="2" x14ac:dyDescent="0.25">
      <c r="A480" s="3" t="s">
        <v>24</v>
      </c>
      <c r="B480" s="2" t="s">
        <v>1247</v>
      </c>
      <c r="C480" s="12" t="s">
        <v>42</v>
      </c>
      <c r="D480" s="2" t="s">
        <v>1250</v>
      </c>
      <c r="E480" s="3" t="s">
        <v>1949</v>
      </c>
      <c r="F480" s="2" t="s">
        <v>45</v>
      </c>
      <c r="G480" s="2" t="s">
        <v>969</v>
      </c>
      <c r="H480" s="3" t="s">
        <v>34</v>
      </c>
      <c r="I480" s="5">
        <v>24363085.199999999</v>
      </c>
      <c r="J480" s="5">
        <v>15300048.960000001</v>
      </c>
      <c r="K480" s="12">
        <v>63</v>
      </c>
      <c r="L480" s="5">
        <f t="shared" si="19"/>
        <v>9745234.0800000001</v>
      </c>
      <c r="M480" s="5"/>
      <c r="N480" s="5">
        <v>15300048.960000001</v>
      </c>
      <c r="O480" s="5">
        <f t="shared" si="20"/>
        <v>9745234.0800000001</v>
      </c>
      <c r="P480" s="57" t="s">
        <v>1983</v>
      </c>
      <c r="Q480" s="39" t="s">
        <v>2955</v>
      </c>
      <c r="R480" s="142"/>
    </row>
    <row r="481" spans="1:18" ht="75" outlineLevel="2" x14ac:dyDescent="0.2">
      <c r="A481" s="3" t="s">
        <v>24</v>
      </c>
      <c r="B481" s="2" t="s">
        <v>1262</v>
      </c>
      <c r="C481" s="12" t="s">
        <v>42</v>
      </c>
      <c r="D481" s="2" t="s">
        <v>1266</v>
      </c>
      <c r="E481" s="3" t="s">
        <v>1949</v>
      </c>
      <c r="F481" s="2" t="s">
        <v>1267</v>
      </c>
      <c r="G481" s="2" t="s">
        <v>1263</v>
      </c>
      <c r="H481" s="3" t="s">
        <v>34</v>
      </c>
      <c r="I481" s="5">
        <v>24819601.32</v>
      </c>
      <c r="J481" s="5">
        <v>14844231.91</v>
      </c>
      <c r="K481" s="12">
        <v>60</v>
      </c>
      <c r="L481" s="5">
        <f t="shared" si="19"/>
        <v>9927840.5280000009</v>
      </c>
      <c r="M481" s="5"/>
      <c r="N481" s="5">
        <v>14844231.91</v>
      </c>
      <c r="O481" s="5">
        <f t="shared" si="20"/>
        <v>9927840.5280000009</v>
      </c>
      <c r="P481" s="5"/>
      <c r="Q481" s="58" t="s">
        <v>2956</v>
      </c>
      <c r="R481" s="141"/>
    </row>
    <row r="482" spans="1:18" s="44" customFormat="1" ht="90" outlineLevel="2" x14ac:dyDescent="0.25">
      <c r="A482" s="3" t="s">
        <v>24</v>
      </c>
      <c r="B482" s="2" t="s">
        <v>1642</v>
      </c>
      <c r="C482" s="12" t="s">
        <v>42</v>
      </c>
      <c r="D482" s="2" t="s">
        <v>1652</v>
      </c>
      <c r="E482" s="3" t="s">
        <v>1949</v>
      </c>
      <c r="F482" s="2" t="s">
        <v>45</v>
      </c>
      <c r="G482" s="2" t="s">
        <v>1653</v>
      </c>
      <c r="H482" s="3" t="s">
        <v>34</v>
      </c>
      <c r="I482" s="5">
        <v>16578679.75</v>
      </c>
      <c r="J482" s="5">
        <v>27514410.530000001</v>
      </c>
      <c r="K482" s="12">
        <v>166</v>
      </c>
      <c r="L482" s="5">
        <f t="shared" si="19"/>
        <v>6631471.9000000004</v>
      </c>
      <c r="M482" s="5"/>
      <c r="N482" s="5">
        <v>27514410.530000001</v>
      </c>
      <c r="O482" s="5">
        <f t="shared" si="20"/>
        <v>6631471.9000000004</v>
      </c>
      <c r="P482" s="57" t="s">
        <v>2043</v>
      </c>
      <c r="Q482" s="39" t="s">
        <v>2573</v>
      </c>
      <c r="R482" s="142"/>
    </row>
    <row r="483" spans="1:18" s="44" customFormat="1" ht="45" outlineLevel="2" x14ac:dyDescent="0.25">
      <c r="A483" s="3" t="s">
        <v>24</v>
      </c>
      <c r="B483" s="2" t="s">
        <v>1655</v>
      </c>
      <c r="C483" s="12" t="s">
        <v>42</v>
      </c>
      <c r="D483" s="2" t="s">
        <v>1661</v>
      </c>
      <c r="E483" s="3" t="s">
        <v>2082</v>
      </c>
      <c r="F483" s="2" t="s">
        <v>732</v>
      </c>
      <c r="G483" s="2" t="s">
        <v>1662</v>
      </c>
      <c r="H483" s="3" t="s">
        <v>34</v>
      </c>
      <c r="I483" s="5">
        <v>22463971.129999999</v>
      </c>
      <c r="J483" s="5">
        <v>14124606.51</v>
      </c>
      <c r="K483" s="12">
        <v>63</v>
      </c>
      <c r="L483" s="5">
        <f t="shared" si="19"/>
        <v>8985588.4519999996</v>
      </c>
      <c r="M483" s="5"/>
      <c r="N483" s="5">
        <v>14124606.51</v>
      </c>
      <c r="O483" s="5">
        <f t="shared" si="20"/>
        <v>8985588.4519999996</v>
      </c>
      <c r="P483" s="57" t="s">
        <v>1983</v>
      </c>
      <c r="Q483" s="39" t="s">
        <v>2574</v>
      </c>
      <c r="R483" s="142"/>
    </row>
    <row r="484" spans="1:18" ht="75" outlineLevel="2" x14ac:dyDescent="0.2">
      <c r="A484" s="3" t="s">
        <v>24</v>
      </c>
      <c r="B484" s="2" t="s">
        <v>1669</v>
      </c>
      <c r="C484" s="12" t="s">
        <v>42</v>
      </c>
      <c r="D484" s="2" t="s">
        <v>1671</v>
      </c>
      <c r="E484" s="6" t="s">
        <v>1949</v>
      </c>
      <c r="F484" s="2" t="s">
        <v>45</v>
      </c>
      <c r="G484" s="2" t="s">
        <v>117</v>
      </c>
      <c r="H484" s="3" t="s">
        <v>34</v>
      </c>
      <c r="I484" s="5">
        <v>139322687.52000001</v>
      </c>
      <c r="J484" s="5">
        <v>86563943.920000002</v>
      </c>
      <c r="K484" s="12">
        <v>62</v>
      </c>
      <c r="L484" s="5">
        <f t="shared" si="19"/>
        <v>55729075.008000009</v>
      </c>
      <c r="M484" s="5"/>
      <c r="N484" s="5">
        <v>86563943.920000002</v>
      </c>
      <c r="O484" s="5">
        <f t="shared" si="20"/>
        <v>55729075.008000009</v>
      </c>
      <c r="P484" s="57" t="s">
        <v>2043</v>
      </c>
      <c r="Q484" s="39" t="s">
        <v>2957</v>
      </c>
      <c r="R484" s="141"/>
    </row>
    <row r="485" spans="1:18" s="44" customFormat="1" ht="75" outlineLevel="2" x14ac:dyDescent="0.25">
      <c r="A485" s="3" t="s">
        <v>24</v>
      </c>
      <c r="B485" s="2" t="s">
        <v>1685</v>
      </c>
      <c r="C485" s="12" t="s">
        <v>42</v>
      </c>
      <c r="D485" s="2" t="s">
        <v>1688</v>
      </c>
      <c r="E485" s="3" t="s">
        <v>1949</v>
      </c>
      <c r="F485" s="2" t="s">
        <v>45</v>
      </c>
      <c r="G485" s="2" t="s">
        <v>1686</v>
      </c>
      <c r="H485" s="3" t="s">
        <v>34</v>
      </c>
      <c r="I485" s="5">
        <v>3755407.2</v>
      </c>
      <c r="J485" s="5">
        <v>2351548.7999999998</v>
      </c>
      <c r="K485" s="12">
        <v>63</v>
      </c>
      <c r="L485" s="5">
        <f t="shared" si="19"/>
        <v>1502162.8800000001</v>
      </c>
      <c r="M485" s="5"/>
      <c r="N485" s="5">
        <v>2351548.7999999998</v>
      </c>
      <c r="O485" s="5">
        <f t="shared" si="20"/>
        <v>1502162.8800000001</v>
      </c>
      <c r="P485" s="57"/>
      <c r="Q485" s="39" t="s">
        <v>2958</v>
      </c>
      <c r="R485" s="142"/>
    </row>
    <row r="486" spans="1:18" ht="75" outlineLevel="2" x14ac:dyDescent="0.2">
      <c r="A486" s="3" t="s">
        <v>24</v>
      </c>
      <c r="B486" s="2" t="s">
        <v>1718</v>
      </c>
      <c r="C486" s="12" t="s">
        <v>42</v>
      </c>
      <c r="D486" s="2" t="s">
        <v>1722</v>
      </c>
      <c r="E486" s="3" t="s">
        <v>1949</v>
      </c>
      <c r="F486" s="2" t="s">
        <v>45</v>
      </c>
      <c r="G486" s="2" t="s">
        <v>819</v>
      </c>
      <c r="H486" s="3" t="s">
        <v>34</v>
      </c>
      <c r="I486" s="5">
        <v>12999262.85</v>
      </c>
      <c r="J486" s="5">
        <v>8198317.25</v>
      </c>
      <c r="K486" s="12">
        <v>63</v>
      </c>
      <c r="L486" s="5">
        <f t="shared" si="19"/>
        <v>5199705.1400000006</v>
      </c>
      <c r="M486" s="5"/>
      <c r="N486" s="5">
        <v>8198317.25</v>
      </c>
      <c r="O486" s="5">
        <f t="shared" si="20"/>
        <v>5199705.1400000006</v>
      </c>
      <c r="P486" s="57" t="s">
        <v>2172</v>
      </c>
      <c r="Q486" s="39" t="s">
        <v>2683</v>
      </c>
      <c r="R486" s="141"/>
    </row>
    <row r="487" spans="1:18" s="44" customFormat="1" ht="30" outlineLevel="2" x14ac:dyDescent="0.25">
      <c r="A487" s="3" t="s">
        <v>24</v>
      </c>
      <c r="B487" s="2" t="s">
        <v>1770</v>
      </c>
      <c r="C487" s="12" t="s">
        <v>42</v>
      </c>
      <c r="D487" s="2" t="s">
        <v>1776</v>
      </c>
      <c r="E487" s="3" t="s">
        <v>1949</v>
      </c>
      <c r="F487" s="2" t="s">
        <v>817</v>
      </c>
      <c r="G487" s="2" t="s">
        <v>1771</v>
      </c>
      <c r="H487" s="3" t="s">
        <v>107</v>
      </c>
      <c r="I487" s="5">
        <v>752105.08</v>
      </c>
      <c r="J487" s="5">
        <v>601684.06000000006</v>
      </c>
      <c r="K487" s="12">
        <v>80</v>
      </c>
      <c r="L487" s="5">
        <f t="shared" si="19"/>
        <v>300842.03200000001</v>
      </c>
      <c r="M487" s="5"/>
      <c r="N487" s="5">
        <v>601684.06000000006</v>
      </c>
      <c r="O487" s="5">
        <f t="shared" si="20"/>
        <v>300842.03200000001</v>
      </c>
      <c r="P487" s="5"/>
      <c r="Q487" s="8" t="s">
        <v>2134</v>
      </c>
      <c r="R487" s="142"/>
    </row>
    <row r="488" spans="1:18" s="44" customFormat="1" ht="30" outlineLevel="2" x14ac:dyDescent="0.25">
      <c r="A488" s="3" t="s">
        <v>24</v>
      </c>
      <c r="B488" s="2" t="s">
        <v>1811</v>
      </c>
      <c r="C488" s="12" t="s">
        <v>42</v>
      </c>
      <c r="D488" s="2" t="s">
        <v>1820</v>
      </c>
      <c r="E488" s="3" t="s">
        <v>29</v>
      </c>
      <c r="F488" s="2" t="s">
        <v>732</v>
      </c>
      <c r="G488" s="2" t="s">
        <v>1813</v>
      </c>
      <c r="H488" s="3" t="s">
        <v>34</v>
      </c>
      <c r="I488" s="5">
        <v>881380</v>
      </c>
      <c r="J488" s="5">
        <v>547618.84</v>
      </c>
      <c r="K488" s="12">
        <v>62</v>
      </c>
      <c r="L488" s="5">
        <f t="shared" si="19"/>
        <v>352552</v>
      </c>
      <c r="M488" s="5"/>
      <c r="N488" s="5">
        <v>547618.84</v>
      </c>
      <c r="O488" s="5">
        <f t="shared" si="20"/>
        <v>352552</v>
      </c>
      <c r="P488" s="57" t="s">
        <v>1983</v>
      </c>
      <c r="Q488" s="39" t="s">
        <v>2575</v>
      </c>
      <c r="R488" s="142"/>
    </row>
    <row r="489" spans="1:18" s="44" customFormat="1" ht="30" outlineLevel="2" x14ac:dyDescent="0.25">
      <c r="A489" s="3" t="s">
        <v>24</v>
      </c>
      <c r="B489" s="2" t="s">
        <v>1825</v>
      </c>
      <c r="C489" s="12" t="s">
        <v>42</v>
      </c>
      <c r="D489" s="2" t="s">
        <v>1826</v>
      </c>
      <c r="E489" s="3" t="s">
        <v>1949</v>
      </c>
      <c r="F489" s="2" t="s">
        <v>193</v>
      </c>
      <c r="G489" s="2" t="s">
        <v>1827</v>
      </c>
      <c r="H489" s="3" t="s">
        <v>107</v>
      </c>
      <c r="I489" s="5">
        <v>19857.599999999999</v>
      </c>
      <c r="J489" s="5">
        <v>19857.599999999999</v>
      </c>
      <c r="K489" s="12">
        <v>100</v>
      </c>
      <c r="L489" s="5">
        <v>19857.599999999999</v>
      </c>
      <c r="M489" s="5">
        <v>19857.599999999999</v>
      </c>
      <c r="N489" s="5">
        <v>19857.599999999999</v>
      </c>
      <c r="O489" s="5">
        <f t="shared" si="20"/>
        <v>0</v>
      </c>
      <c r="P489" s="57"/>
      <c r="Q489" s="39" t="s">
        <v>2023</v>
      </c>
      <c r="R489" s="142"/>
    </row>
    <row r="490" spans="1:18" s="44" customFormat="1" ht="90" outlineLevel="2" x14ac:dyDescent="0.25">
      <c r="A490" s="3" t="s">
        <v>24</v>
      </c>
      <c r="B490" s="2" t="s">
        <v>1846</v>
      </c>
      <c r="C490" s="12" t="s">
        <v>42</v>
      </c>
      <c r="D490" s="2" t="s">
        <v>1848</v>
      </c>
      <c r="E490" s="3" t="s">
        <v>1949</v>
      </c>
      <c r="F490" s="2" t="s">
        <v>349</v>
      </c>
      <c r="G490" s="2" t="s">
        <v>117</v>
      </c>
      <c r="H490" s="3" t="s">
        <v>34</v>
      </c>
      <c r="I490" s="5">
        <v>4429426.8</v>
      </c>
      <c r="J490" s="5">
        <v>3440113.2</v>
      </c>
      <c r="K490" s="12">
        <v>78</v>
      </c>
      <c r="L490" s="5">
        <f t="shared" si="19"/>
        <v>1771770.72</v>
      </c>
      <c r="M490" s="5"/>
      <c r="N490" s="5">
        <v>3440113.2</v>
      </c>
      <c r="O490" s="5">
        <f t="shared" si="20"/>
        <v>1771770.72</v>
      </c>
      <c r="P490" s="57" t="s">
        <v>1983</v>
      </c>
      <c r="Q490" s="39" t="s">
        <v>2959</v>
      </c>
      <c r="R490" s="142"/>
    </row>
    <row r="491" spans="1:18" s="44" customFormat="1" ht="30" outlineLevel="2" x14ac:dyDescent="0.25">
      <c r="A491" s="3" t="s">
        <v>24</v>
      </c>
      <c r="B491" s="2" t="s">
        <v>1855</v>
      </c>
      <c r="C491" s="12" t="s">
        <v>42</v>
      </c>
      <c r="D491" s="2" t="s">
        <v>1866</v>
      </c>
      <c r="E491" s="3" t="s">
        <v>1949</v>
      </c>
      <c r="F491" s="2" t="s">
        <v>349</v>
      </c>
      <c r="G491" s="2" t="s">
        <v>1867</v>
      </c>
      <c r="H491" s="3" t="s">
        <v>34</v>
      </c>
      <c r="I491" s="57">
        <v>211941.94</v>
      </c>
      <c r="J491" s="57">
        <v>211941.94</v>
      </c>
      <c r="K491" s="12">
        <v>82</v>
      </c>
      <c r="L491" s="5">
        <v>84776.776000000013</v>
      </c>
      <c r="M491" s="5"/>
      <c r="N491" s="5">
        <v>160657.35</v>
      </c>
      <c r="O491" s="5">
        <f t="shared" si="20"/>
        <v>84776.776000000013</v>
      </c>
      <c r="P491" s="57" t="s">
        <v>2568</v>
      </c>
      <c r="Q491" s="39" t="s">
        <v>2960</v>
      </c>
      <c r="R491" s="142"/>
    </row>
    <row r="492" spans="1:18" s="44" customFormat="1" ht="30" outlineLevel="2" x14ac:dyDescent="0.25">
      <c r="A492" s="3" t="s">
        <v>24</v>
      </c>
      <c r="B492" s="2" t="s">
        <v>1894</v>
      </c>
      <c r="C492" s="12" t="s">
        <v>42</v>
      </c>
      <c r="D492" s="2" t="s">
        <v>1900</v>
      </c>
      <c r="E492" s="3" t="s">
        <v>29</v>
      </c>
      <c r="F492" s="2" t="s">
        <v>1901</v>
      </c>
      <c r="G492" s="2" t="s">
        <v>1902</v>
      </c>
      <c r="H492" s="3" t="s">
        <v>308</v>
      </c>
      <c r="I492" s="5">
        <v>6947925.5999999996</v>
      </c>
      <c r="J492" s="5">
        <v>5558340.4800000004</v>
      </c>
      <c r="K492" s="12">
        <v>80</v>
      </c>
      <c r="L492" s="5">
        <f t="shared" si="19"/>
        <v>2779170.24</v>
      </c>
      <c r="M492" s="5"/>
      <c r="N492" s="5">
        <v>5558340.4800000004</v>
      </c>
      <c r="O492" s="5">
        <f t="shared" si="20"/>
        <v>2779170.24</v>
      </c>
      <c r="P492" s="42">
        <v>45548</v>
      </c>
      <c r="Q492" s="8" t="s">
        <v>2173</v>
      </c>
      <c r="R492" s="142"/>
    </row>
    <row r="493" spans="1:18" s="44" customFormat="1" ht="60" outlineLevel="2" x14ac:dyDescent="0.25">
      <c r="A493" s="3" t="s">
        <v>24</v>
      </c>
      <c r="B493" s="2" t="s">
        <v>1915</v>
      </c>
      <c r="C493" s="12" t="s">
        <v>42</v>
      </c>
      <c r="D493" s="2" t="s">
        <v>2174</v>
      </c>
      <c r="E493" s="3" t="s">
        <v>29</v>
      </c>
      <c r="F493" s="2" t="s">
        <v>271</v>
      </c>
      <c r="G493" s="2" t="s">
        <v>1924</v>
      </c>
      <c r="H493" s="3" t="s">
        <v>78</v>
      </c>
      <c r="I493" s="5">
        <v>24993931.539999999</v>
      </c>
      <c r="J493" s="5">
        <f>I493*0.8</f>
        <v>19995145.232000001</v>
      </c>
      <c r="K493" s="12">
        <v>80</v>
      </c>
      <c r="L493" s="5">
        <v>9997572.6199999992</v>
      </c>
      <c r="M493" s="5">
        <v>9997572.6199999992</v>
      </c>
      <c r="N493" s="5">
        <v>9997572.6199999992</v>
      </c>
      <c r="O493" s="5">
        <f t="shared" si="20"/>
        <v>0</v>
      </c>
      <c r="P493" s="5"/>
      <c r="Q493" s="8"/>
      <c r="R493" s="142"/>
    </row>
    <row r="494" spans="1:18" s="44" customFormat="1" ht="30" outlineLevel="2" x14ac:dyDescent="0.25">
      <c r="A494" s="3" t="s">
        <v>24</v>
      </c>
      <c r="B494" s="2" t="s">
        <v>1936</v>
      </c>
      <c r="C494" s="12" t="s">
        <v>42</v>
      </c>
      <c r="D494" s="2" t="s">
        <v>1941</v>
      </c>
      <c r="E494" s="3" t="s">
        <v>1949</v>
      </c>
      <c r="F494" s="2" t="s">
        <v>199</v>
      </c>
      <c r="G494" s="2" t="s">
        <v>1937</v>
      </c>
      <c r="H494" s="3" t="s">
        <v>78</v>
      </c>
      <c r="I494" s="5">
        <v>11472916.890000001</v>
      </c>
      <c r="J494" s="5">
        <v>2062913.28</v>
      </c>
      <c r="K494" s="12">
        <v>18</v>
      </c>
      <c r="L494" s="62">
        <f>J494*0.5</f>
        <v>1031456.64</v>
      </c>
      <c r="M494" s="5"/>
      <c r="N494" s="5">
        <v>2062913.28</v>
      </c>
      <c r="O494" s="5">
        <f t="shared" si="20"/>
        <v>1031456.64</v>
      </c>
      <c r="P494" s="5"/>
      <c r="Q494" s="8" t="s">
        <v>2175</v>
      </c>
      <c r="R494" s="142"/>
    </row>
    <row r="495" spans="1:18" s="44" customFormat="1" ht="30" outlineLevel="1" x14ac:dyDescent="0.25">
      <c r="A495" s="3" t="s">
        <v>24</v>
      </c>
      <c r="B495" s="2" t="s">
        <v>1936</v>
      </c>
      <c r="C495" s="12" t="s">
        <v>42</v>
      </c>
      <c r="D495" s="2" t="s">
        <v>1941</v>
      </c>
      <c r="E495" s="3" t="s">
        <v>1949</v>
      </c>
      <c r="F495" s="2" t="s">
        <v>324</v>
      </c>
      <c r="G495" s="2" t="s">
        <v>1937</v>
      </c>
      <c r="H495" s="3" t="s">
        <v>34</v>
      </c>
      <c r="I495" s="5">
        <v>11472916.890000001</v>
      </c>
      <c r="J495" s="5">
        <v>5738649.6699999999</v>
      </c>
      <c r="K495" s="12">
        <v>50</v>
      </c>
      <c r="L495" s="62">
        <f>J495*0.5</f>
        <v>2869324.835</v>
      </c>
      <c r="M495" s="5"/>
      <c r="N495" s="5">
        <v>5738649.6699999999</v>
      </c>
      <c r="O495" s="5">
        <f t="shared" si="20"/>
        <v>2869324.835</v>
      </c>
      <c r="P495" s="5"/>
      <c r="Q495" s="8" t="s">
        <v>2176</v>
      </c>
      <c r="R495" s="142"/>
    </row>
    <row r="496" spans="1:18" s="44" customFormat="1" x14ac:dyDescent="0.25">
      <c r="A496" s="155"/>
      <c r="B496" s="156"/>
      <c r="C496" s="154" t="s">
        <v>1948</v>
      </c>
      <c r="D496" s="68"/>
      <c r="E496" s="155"/>
      <c r="F496" s="68"/>
      <c r="G496" s="156"/>
      <c r="H496" s="10"/>
      <c r="I496" s="69">
        <f t="shared" ref="I496:O496" si="21">SUBTOTAL(9,I343:I495)</f>
        <v>65987885704.32</v>
      </c>
      <c r="J496" s="69">
        <f t="shared" si="21"/>
        <v>16658079800.840004</v>
      </c>
      <c r="K496" s="69">
        <f t="shared" si="21"/>
        <v>6861</v>
      </c>
      <c r="L496" s="157">
        <f t="shared" si="21"/>
        <v>9605999736.4419937</v>
      </c>
      <c r="M496" s="157">
        <f t="shared" si="21"/>
        <v>7663577496.1300001</v>
      </c>
      <c r="N496" s="69">
        <f t="shared" si="21"/>
        <v>9176543715.1939983</v>
      </c>
      <c r="O496" s="157">
        <f t="shared" si="21"/>
        <v>1942422240.312</v>
      </c>
      <c r="P496" s="70"/>
      <c r="Q496" s="71"/>
      <c r="R496" s="61"/>
    </row>
    <row r="497" spans="1:18" s="44" customFormat="1" x14ac:dyDescent="0.25">
      <c r="A497" s="171" t="s">
        <v>24</v>
      </c>
      <c r="B497" s="174"/>
      <c r="C497" s="175" t="s">
        <v>1943</v>
      </c>
      <c r="D497" s="68"/>
      <c r="E497" s="176"/>
      <c r="F497" s="68"/>
      <c r="G497" s="174"/>
      <c r="H497" s="10"/>
      <c r="I497" s="69">
        <f t="shared" ref="I497:O497" si="22">I212+I305+I342+I496</f>
        <v>67491482011.349998</v>
      </c>
      <c r="J497" s="69">
        <f t="shared" si="22"/>
        <v>17931742571.570004</v>
      </c>
      <c r="K497" s="69">
        <f t="shared" si="22"/>
        <v>21312.799999999999</v>
      </c>
      <c r="L497" s="177">
        <f t="shared" si="22"/>
        <v>10219944017.683994</v>
      </c>
      <c r="M497" s="177">
        <f t="shared" si="22"/>
        <v>7788190770.8100004</v>
      </c>
      <c r="N497" s="69">
        <f t="shared" si="22"/>
        <v>10311159062.777998</v>
      </c>
      <c r="O497" s="177">
        <f t="shared" si="22"/>
        <v>2431753246.8740001</v>
      </c>
      <c r="P497" s="70"/>
      <c r="Q497" s="71"/>
      <c r="R497" s="61"/>
    </row>
    <row r="498" spans="1:18" s="44" customFormat="1" ht="33.75" customHeight="1" outlineLevel="2" x14ac:dyDescent="0.25">
      <c r="A498" s="6" t="s">
        <v>12</v>
      </c>
      <c r="B498" s="8" t="s">
        <v>260</v>
      </c>
      <c r="C498" s="8" t="s">
        <v>49</v>
      </c>
      <c r="D498" s="8" t="s">
        <v>262</v>
      </c>
      <c r="E498" s="8" t="s">
        <v>26</v>
      </c>
      <c r="F498" s="8" t="s">
        <v>27</v>
      </c>
      <c r="G498" s="8" t="s">
        <v>261</v>
      </c>
      <c r="H498" s="6" t="s">
        <v>19</v>
      </c>
      <c r="I498" s="19">
        <v>1898279.04</v>
      </c>
      <c r="J498" s="19">
        <v>1898279.04</v>
      </c>
      <c r="K498" s="72">
        <v>100</v>
      </c>
      <c r="L498" s="19">
        <v>1898279.04</v>
      </c>
      <c r="M498" s="19">
        <v>1898279.04</v>
      </c>
      <c r="N498" s="19"/>
      <c r="O498" s="19">
        <v>0</v>
      </c>
      <c r="P498" s="6"/>
      <c r="Q498" s="6" t="s">
        <v>2462</v>
      </c>
      <c r="R498" s="61"/>
    </row>
    <row r="499" spans="1:18" s="44" customFormat="1" ht="33.75" customHeight="1" outlineLevel="2" x14ac:dyDescent="0.25">
      <c r="A499" s="6" t="s">
        <v>12</v>
      </c>
      <c r="B499" s="8" t="s">
        <v>1790</v>
      </c>
      <c r="C499" s="8" t="s">
        <v>49</v>
      </c>
      <c r="D499" s="8" t="s">
        <v>1791</v>
      </c>
      <c r="E499" s="8" t="s">
        <v>26</v>
      </c>
      <c r="F499" s="8" t="s">
        <v>762</v>
      </c>
      <c r="G499" s="8" t="s">
        <v>1748</v>
      </c>
      <c r="H499" s="6" t="s">
        <v>19</v>
      </c>
      <c r="I499" s="19">
        <v>996960</v>
      </c>
      <c r="J499" s="19">
        <v>996960</v>
      </c>
      <c r="K499" s="72">
        <v>100</v>
      </c>
      <c r="L499" s="19">
        <v>996960</v>
      </c>
      <c r="M499" s="19">
        <v>996960</v>
      </c>
      <c r="N499" s="19"/>
      <c r="O499" s="19">
        <v>0</v>
      </c>
      <c r="P499" s="6"/>
      <c r="Q499" s="6" t="s">
        <v>2463</v>
      </c>
      <c r="R499" s="61"/>
    </row>
    <row r="500" spans="1:18" s="44" customFormat="1" ht="33.75" customHeight="1" outlineLevel="2" x14ac:dyDescent="0.25">
      <c r="A500" s="6" t="s">
        <v>12</v>
      </c>
      <c r="B500" s="8" t="s">
        <v>1790</v>
      </c>
      <c r="C500" s="8" t="s">
        <v>49</v>
      </c>
      <c r="D500" s="8" t="s">
        <v>1792</v>
      </c>
      <c r="E500" s="8" t="s">
        <v>26</v>
      </c>
      <c r="F500" s="8" t="s">
        <v>1793</v>
      </c>
      <c r="G500" s="8" t="s">
        <v>129</v>
      </c>
      <c r="H500" s="6" t="s">
        <v>19</v>
      </c>
      <c r="I500" s="19">
        <v>997500</v>
      </c>
      <c r="J500" s="19">
        <v>997500</v>
      </c>
      <c r="K500" s="72">
        <v>100</v>
      </c>
      <c r="L500" s="19">
        <v>997500</v>
      </c>
      <c r="M500" s="19">
        <v>997500</v>
      </c>
      <c r="N500" s="19"/>
      <c r="O500" s="19">
        <v>0</v>
      </c>
      <c r="P500" s="6"/>
      <c r="Q500" s="6" t="s">
        <v>2464</v>
      </c>
      <c r="R500" s="61"/>
    </row>
    <row r="501" spans="1:18" s="44" customFormat="1" ht="33.75" customHeight="1" outlineLevel="2" x14ac:dyDescent="0.25">
      <c r="A501" s="6" t="s">
        <v>12</v>
      </c>
      <c r="B501" s="8" t="s">
        <v>130</v>
      </c>
      <c r="C501" s="8" t="s">
        <v>49</v>
      </c>
      <c r="D501" s="8" t="s">
        <v>134</v>
      </c>
      <c r="E501" s="8" t="s">
        <v>29</v>
      </c>
      <c r="F501" s="8" t="s">
        <v>132</v>
      </c>
      <c r="G501" s="8" t="s">
        <v>133</v>
      </c>
      <c r="H501" s="6" t="s">
        <v>19</v>
      </c>
      <c r="I501" s="19">
        <v>1664457464.5</v>
      </c>
      <c r="J501" s="19">
        <v>1331565971.6000001</v>
      </c>
      <c r="K501" s="72">
        <v>24</v>
      </c>
      <c r="L501" s="72">
        <v>665782985.80000007</v>
      </c>
      <c r="M501" s="19">
        <v>665782985.79999995</v>
      </c>
      <c r="N501" s="19">
        <v>665782985.80000019</v>
      </c>
      <c r="O501" s="19">
        <v>0</v>
      </c>
      <c r="P501" s="8"/>
      <c r="Q501" s="30" t="s">
        <v>2465</v>
      </c>
      <c r="R501" s="61"/>
    </row>
    <row r="502" spans="1:18" s="44" customFormat="1" ht="33.75" customHeight="1" outlineLevel="2" x14ac:dyDescent="0.25">
      <c r="A502" s="6" t="s">
        <v>12</v>
      </c>
      <c r="B502" s="8" t="s">
        <v>130</v>
      </c>
      <c r="C502" s="8" t="s">
        <v>49</v>
      </c>
      <c r="D502" s="8" t="s">
        <v>135</v>
      </c>
      <c r="E502" s="8" t="s">
        <v>29</v>
      </c>
      <c r="F502" s="8" t="s">
        <v>132</v>
      </c>
      <c r="G502" s="8" t="s">
        <v>133</v>
      </c>
      <c r="H502" s="6" t="s">
        <v>19</v>
      </c>
      <c r="I502" s="19">
        <v>2075885468.28</v>
      </c>
      <c r="J502" s="19">
        <v>1660708374.6199999</v>
      </c>
      <c r="K502" s="72">
        <v>32</v>
      </c>
      <c r="L502" s="72">
        <v>830354187.30999994</v>
      </c>
      <c r="M502" s="19">
        <v>830354187.30999994</v>
      </c>
      <c r="N502" s="19">
        <v>830354187.30999994</v>
      </c>
      <c r="O502" s="19">
        <v>0</v>
      </c>
      <c r="P502" s="8"/>
      <c r="Q502" s="30" t="s">
        <v>2466</v>
      </c>
      <c r="R502" s="61"/>
    </row>
    <row r="503" spans="1:18" s="44" customFormat="1" ht="33.75" customHeight="1" outlineLevel="2" x14ac:dyDescent="0.25">
      <c r="A503" s="6" t="s">
        <v>12</v>
      </c>
      <c r="B503" s="8" t="s">
        <v>69</v>
      </c>
      <c r="C503" s="8" t="s">
        <v>49</v>
      </c>
      <c r="D503" s="8" t="s">
        <v>71</v>
      </c>
      <c r="E503" s="8" t="s">
        <v>29</v>
      </c>
      <c r="F503" s="8" t="s">
        <v>72</v>
      </c>
      <c r="G503" s="8" t="s">
        <v>73</v>
      </c>
      <c r="H503" s="6" t="s">
        <v>19</v>
      </c>
      <c r="I503" s="19">
        <v>835380</v>
      </c>
      <c r="J503" s="19">
        <v>855986.04</v>
      </c>
      <c r="K503" s="72">
        <v>100</v>
      </c>
      <c r="L503" s="19">
        <v>855986.04</v>
      </c>
      <c r="M503" s="19">
        <v>855986.04</v>
      </c>
      <c r="N503" s="19">
        <v>0</v>
      </c>
      <c r="O503" s="19">
        <v>0</v>
      </c>
      <c r="P503" s="6"/>
      <c r="Q503" s="6" t="s">
        <v>2457</v>
      </c>
      <c r="R503" s="61"/>
    </row>
    <row r="504" spans="1:18" s="44" customFormat="1" ht="33.75" customHeight="1" outlineLevel="2" x14ac:dyDescent="0.25">
      <c r="A504" s="6" t="s">
        <v>12</v>
      </c>
      <c r="B504" s="8" t="s">
        <v>102</v>
      </c>
      <c r="C504" s="8" t="s">
        <v>49</v>
      </c>
      <c r="D504" s="8" t="s">
        <v>105</v>
      </c>
      <c r="E504" s="8" t="s">
        <v>26</v>
      </c>
      <c r="F504" s="8" t="s">
        <v>31</v>
      </c>
      <c r="G504" s="8" t="s">
        <v>104</v>
      </c>
      <c r="H504" s="6" t="s">
        <v>19</v>
      </c>
      <c r="I504" s="19">
        <v>10758290.98</v>
      </c>
      <c r="J504" s="19">
        <v>10758290.98</v>
      </c>
      <c r="K504" s="72">
        <v>100</v>
      </c>
      <c r="L504" s="19">
        <v>10758290.98</v>
      </c>
      <c r="M504" s="19">
        <v>10758290.98</v>
      </c>
      <c r="N504" s="19"/>
      <c r="O504" s="19">
        <v>0</v>
      </c>
      <c r="P504" s="73"/>
      <c r="Q504" s="8" t="s">
        <v>2453</v>
      </c>
      <c r="R504" s="61"/>
    </row>
    <row r="505" spans="1:18" s="44" customFormat="1" ht="33.75" customHeight="1" outlineLevel="2" x14ac:dyDescent="0.25">
      <c r="A505" s="6" t="s">
        <v>12</v>
      </c>
      <c r="B505" s="8" t="s">
        <v>102</v>
      </c>
      <c r="C505" s="8" t="s">
        <v>49</v>
      </c>
      <c r="D505" s="8" t="s">
        <v>111</v>
      </c>
      <c r="E505" s="8" t="s">
        <v>29</v>
      </c>
      <c r="F505" s="8" t="s">
        <v>27</v>
      </c>
      <c r="G505" s="8" t="s">
        <v>103</v>
      </c>
      <c r="H505" s="6" t="s">
        <v>19</v>
      </c>
      <c r="I505" s="19">
        <v>4450751.1500000004</v>
      </c>
      <c r="J505" s="19">
        <v>4450751.1500000004</v>
      </c>
      <c r="K505" s="72">
        <v>100</v>
      </c>
      <c r="L505" s="19">
        <v>1780231.03</v>
      </c>
      <c r="M505" s="19">
        <v>1780231.03</v>
      </c>
      <c r="N505" s="19">
        <v>2670520.12</v>
      </c>
      <c r="O505" s="19">
        <v>0</v>
      </c>
      <c r="P505" s="6"/>
      <c r="Q505" s="8"/>
      <c r="R505" s="61"/>
    </row>
    <row r="506" spans="1:18" s="44" customFormat="1" ht="33.75" customHeight="1" outlineLevel="2" x14ac:dyDescent="0.25">
      <c r="A506" s="6" t="s">
        <v>12</v>
      </c>
      <c r="B506" s="8" t="s">
        <v>260</v>
      </c>
      <c r="C506" s="8" t="s">
        <v>49</v>
      </c>
      <c r="D506" s="8" t="s">
        <v>263</v>
      </c>
      <c r="E506" s="8" t="s">
        <v>29</v>
      </c>
      <c r="F506" s="8" t="s">
        <v>72</v>
      </c>
      <c r="G506" s="8" t="s">
        <v>264</v>
      </c>
      <c r="H506" s="6" t="s">
        <v>19</v>
      </c>
      <c r="I506" s="19">
        <v>4956223.9000000004</v>
      </c>
      <c r="J506" s="19">
        <v>4956223.9000000004</v>
      </c>
      <c r="K506" s="72">
        <v>100</v>
      </c>
      <c r="L506" s="19">
        <v>4956223.9000000004</v>
      </c>
      <c r="M506" s="19">
        <v>4956223.9000000004</v>
      </c>
      <c r="N506" s="19"/>
      <c r="O506" s="19">
        <v>0</v>
      </c>
      <c r="P506" s="6"/>
      <c r="Q506" s="8"/>
      <c r="R506" s="61"/>
    </row>
    <row r="507" spans="1:18" s="44" customFormat="1" ht="33.75" customHeight="1" outlineLevel="2" x14ac:dyDescent="0.25">
      <c r="A507" s="6" t="s">
        <v>12</v>
      </c>
      <c r="B507" s="8" t="s">
        <v>265</v>
      </c>
      <c r="C507" s="8" t="s">
        <v>49</v>
      </c>
      <c r="D507" s="8" t="s">
        <v>267</v>
      </c>
      <c r="E507" s="8" t="s">
        <v>29</v>
      </c>
      <c r="F507" s="8" t="s">
        <v>182</v>
      </c>
      <c r="G507" s="8" t="s">
        <v>266</v>
      </c>
      <c r="H507" s="6" t="s">
        <v>19</v>
      </c>
      <c r="I507" s="19">
        <v>20415110.399999999</v>
      </c>
      <c r="J507" s="19">
        <v>16332088.32</v>
      </c>
      <c r="K507" s="72">
        <v>80</v>
      </c>
      <c r="L507" s="72">
        <v>8166044.1600000001</v>
      </c>
      <c r="M507" s="19">
        <v>8166044.1600000001</v>
      </c>
      <c r="N507" s="19">
        <v>8166044.1600000001</v>
      </c>
      <c r="O507" s="19">
        <v>0</v>
      </c>
      <c r="P507" s="74"/>
      <c r="Q507" s="8" t="s">
        <v>2513</v>
      </c>
      <c r="R507" s="61"/>
    </row>
    <row r="508" spans="1:18" s="44" customFormat="1" ht="33.75" customHeight="1" outlineLevel="2" x14ac:dyDescent="0.25">
      <c r="A508" s="6" t="s">
        <v>12</v>
      </c>
      <c r="B508" s="8" t="s">
        <v>421</v>
      </c>
      <c r="C508" s="8" t="s">
        <v>49</v>
      </c>
      <c r="D508" s="8" t="s">
        <v>425</v>
      </c>
      <c r="E508" s="8" t="s">
        <v>29</v>
      </c>
      <c r="F508" s="8" t="s">
        <v>182</v>
      </c>
      <c r="G508" s="8" t="s">
        <v>422</v>
      </c>
      <c r="H508" s="6" t="s">
        <v>19</v>
      </c>
      <c r="I508" s="19">
        <v>12682656.24</v>
      </c>
      <c r="J508" s="19">
        <v>10146124.99</v>
      </c>
      <c r="K508" s="72">
        <v>80</v>
      </c>
      <c r="L508" s="19">
        <v>5073062.5</v>
      </c>
      <c r="M508" s="19">
        <v>5073062.5</v>
      </c>
      <c r="N508" s="19">
        <v>5073062.49</v>
      </c>
      <c r="O508" s="19">
        <v>0</v>
      </c>
      <c r="P508" s="6"/>
      <c r="Q508" s="8" t="s">
        <v>2474</v>
      </c>
      <c r="R508" s="61"/>
    </row>
    <row r="509" spans="1:18" s="44" customFormat="1" ht="33.75" customHeight="1" outlineLevel="2" x14ac:dyDescent="0.25">
      <c r="A509" s="6" t="s">
        <v>12</v>
      </c>
      <c r="B509" s="8" t="s">
        <v>421</v>
      </c>
      <c r="C509" s="8" t="s">
        <v>49</v>
      </c>
      <c r="D509" s="8" t="s">
        <v>426</v>
      </c>
      <c r="E509" s="8" t="s">
        <v>29</v>
      </c>
      <c r="F509" s="8" t="s">
        <v>182</v>
      </c>
      <c r="G509" s="8" t="s">
        <v>422</v>
      </c>
      <c r="H509" s="6" t="s">
        <v>19</v>
      </c>
      <c r="I509" s="19">
        <v>28806871.199999999</v>
      </c>
      <c r="J509" s="19">
        <v>23045496.960000001</v>
      </c>
      <c r="K509" s="72">
        <v>80</v>
      </c>
      <c r="L509" s="72">
        <v>11522748.48</v>
      </c>
      <c r="M509" s="19">
        <v>11522748.48</v>
      </c>
      <c r="N509" s="19">
        <v>11522748.48</v>
      </c>
      <c r="O509" s="19">
        <v>0</v>
      </c>
      <c r="P509" s="6"/>
      <c r="Q509" s="8" t="s">
        <v>2514</v>
      </c>
      <c r="R509" s="61"/>
    </row>
    <row r="510" spans="1:18" s="44" customFormat="1" ht="33.75" customHeight="1" outlineLevel="2" x14ac:dyDescent="0.25">
      <c r="A510" s="6" t="s">
        <v>12</v>
      </c>
      <c r="B510" s="8" t="s">
        <v>421</v>
      </c>
      <c r="C510" s="8" t="s">
        <v>49</v>
      </c>
      <c r="D510" s="8" t="s">
        <v>427</v>
      </c>
      <c r="E510" s="8" t="s">
        <v>29</v>
      </c>
      <c r="F510" s="8" t="s">
        <v>182</v>
      </c>
      <c r="G510" s="8" t="s">
        <v>422</v>
      </c>
      <c r="H510" s="6" t="s">
        <v>19</v>
      </c>
      <c r="I510" s="19">
        <v>2108157.6</v>
      </c>
      <c r="J510" s="19">
        <v>1686526.08</v>
      </c>
      <c r="K510" s="72">
        <v>80</v>
      </c>
      <c r="L510" s="72">
        <v>843263.04</v>
      </c>
      <c r="M510" s="19">
        <v>843263.04</v>
      </c>
      <c r="N510" s="19">
        <v>843263.04</v>
      </c>
      <c r="O510" s="19">
        <v>0</v>
      </c>
      <c r="P510" s="6"/>
      <c r="Q510" s="8" t="s">
        <v>2527</v>
      </c>
      <c r="R510" s="61"/>
    </row>
    <row r="511" spans="1:18" s="44" customFormat="1" ht="33.75" customHeight="1" outlineLevel="2" x14ac:dyDescent="0.25">
      <c r="A511" s="6" t="s">
        <v>12</v>
      </c>
      <c r="B511" s="8" t="s">
        <v>528</v>
      </c>
      <c r="C511" s="8" t="s">
        <v>49</v>
      </c>
      <c r="D511" s="8" t="s">
        <v>530</v>
      </c>
      <c r="E511" s="8" t="s">
        <v>29</v>
      </c>
      <c r="F511" s="8" t="s">
        <v>72</v>
      </c>
      <c r="G511" s="8" t="s">
        <v>529</v>
      </c>
      <c r="H511" s="6" t="s">
        <v>19</v>
      </c>
      <c r="I511" s="19">
        <v>24882348.449999999</v>
      </c>
      <c r="J511" s="19">
        <v>24882348.449999999</v>
      </c>
      <c r="K511" s="72">
        <v>100</v>
      </c>
      <c r="L511" s="72">
        <v>9952939.3800000008</v>
      </c>
      <c r="M511" s="19">
        <v>9952939.3800000008</v>
      </c>
      <c r="N511" s="19">
        <v>14929409.069999998</v>
      </c>
      <c r="O511" s="19">
        <v>0</v>
      </c>
      <c r="P511" s="6"/>
      <c r="Q511" s="8" t="s">
        <v>2548</v>
      </c>
      <c r="R511" s="61"/>
    </row>
    <row r="512" spans="1:18" s="44" customFormat="1" ht="33.75" customHeight="1" outlineLevel="2" x14ac:dyDescent="0.25">
      <c r="A512" s="6" t="s">
        <v>12</v>
      </c>
      <c r="B512" s="8" t="s">
        <v>622</v>
      </c>
      <c r="C512" s="8" t="s">
        <v>49</v>
      </c>
      <c r="D512" s="8" t="s">
        <v>625</v>
      </c>
      <c r="E512" s="8" t="s">
        <v>29</v>
      </c>
      <c r="F512" s="8" t="s">
        <v>583</v>
      </c>
      <c r="G512" s="8" t="s">
        <v>623</v>
      </c>
      <c r="H512" s="6" t="s">
        <v>19</v>
      </c>
      <c r="I512" s="19">
        <v>13634820</v>
      </c>
      <c r="J512" s="19">
        <v>12271338</v>
      </c>
      <c r="K512" s="72">
        <v>90</v>
      </c>
      <c r="L512" s="72">
        <v>5453928</v>
      </c>
      <c r="M512" s="19">
        <v>5453928</v>
      </c>
      <c r="N512" s="19">
        <v>6817410</v>
      </c>
      <c r="O512" s="19">
        <v>0</v>
      </c>
      <c r="P512" s="8"/>
      <c r="Q512" s="8" t="s">
        <v>2890</v>
      </c>
      <c r="R512" s="61"/>
    </row>
    <row r="513" spans="1:18" s="44" customFormat="1" ht="33.75" customHeight="1" outlineLevel="2" x14ac:dyDescent="0.25">
      <c r="A513" s="6" t="s">
        <v>12</v>
      </c>
      <c r="B513" s="8" t="s">
        <v>2535</v>
      </c>
      <c r="C513" s="8" t="s">
        <v>49</v>
      </c>
      <c r="D513" s="8" t="s">
        <v>684</v>
      </c>
      <c r="E513" s="8" t="s">
        <v>29</v>
      </c>
      <c r="F513" s="8" t="s">
        <v>182</v>
      </c>
      <c r="G513" s="8" t="s">
        <v>685</v>
      </c>
      <c r="H513" s="6" t="s">
        <v>19</v>
      </c>
      <c r="I513" s="19">
        <v>1497972</v>
      </c>
      <c r="J513" s="19">
        <v>1198377.6000000001</v>
      </c>
      <c r="K513" s="72">
        <v>80</v>
      </c>
      <c r="L513" s="19">
        <v>599189</v>
      </c>
      <c r="M513" s="19">
        <v>599189</v>
      </c>
      <c r="N513" s="19">
        <v>599188.60000000009</v>
      </c>
      <c r="O513" s="19">
        <v>0</v>
      </c>
      <c r="P513" s="75"/>
      <c r="Q513" s="8" t="s">
        <v>2536</v>
      </c>
      <c r="R513" s="61"/>
    </row>
    <row r="514" spans="1:18" s="44" customFormat="1" ht="33.75" customHeight="1" outlineLevel="2" x14ac:dyDescent="0.25">
      <c r="A514" s="6" t="s">
        <v>12</v>
      </c>
      <c r="B514" s="8" t="s">
        <v>710</v>
      </c>
      <c r="C514" s="8" t="s">
        <v>49</v>
      </c>
      <c r="D514" s="8" t="s">
        <v>714</v>
      </c>
      <c r="E514" s="8" t="s">
        <v>29</v>
      </c>
      <c r="F514" s="8" t="s">
        <v>433</v>
      </c>
      <c r="G514" s="8" t="s">
        <v>715</v>
      </c>
      <c r="H514" s="6" t="s">
        <v>19</v>
      </c>
      <c r="I514" s="19">
        <v>369811800</v>
      </c>
      <c r="J514" s="19">
        <v>295849440</v>
      </c>
      <c r="K514" s="72">
        <v>80</v>
      </c>
      <c r="L514" s="72">
        <v>147924720</v>
      </c>
      <c r="M514" s="19">
        <v>147924720</v>
      </c>
      <c r="N514" s="19">
        <v>147924720</v>
      </c>
      <c r="O514" s="19">
        <v>0</v>
      </c>
      <c r="P514" s="8"/>
      <c r="Q514" s="8" t="s">
        <v>2473</v>
      </c>
      <c r="R514" s="61"/>
    </row>
    <row r="515" spans="1:18" s="44" customFormat="1" ht="33.75" customHeight="1" outlineLevel="2" x14ac:dyDescent="0.25">
      <c r="A515" s="6" t="s">
        <v>12</v>
      </c>
      <c r="B515" s="8" t="s">
        <v>719</v>
      </c>
      <c r="C515" s="8" t="s">
        <v>49</v>
      </c>
      <c r="D515" s="8" t="s">
        <v>720</v>
      </c>
      <c r="E515" s="8" t="s">
        <v>29</v>
      </c>
      <c r="F515" s="8" t="s">
        <v>182</v>
      </c>
      <c r="G515" s="8" t="s">
        <v>422</v>
      </c>
      <c r="H515" s="6" t="s">
        <v>19</v>
      </c>
      <c r="I515" s="19">
        <v>3310086.64</v>
      </c>
      <c r="J515" s="19">
        <v>2648069.31</v>
      </c>
      <c r="K515" s="72">
        <v>80</v>
      </c>
      <c r="L515" s="19">
        <v>2648069.31</v>
      </c>
      <c r="M515" s="19">
        <v>2648069.31</v>
      </c>
      <c r="N515" s="19"/>
      <c r="O515" s="19">
        <v>0</v>
      </c>
      <c r="P515" s="6"/>
      <c r="Q515" s="8"/>
      <c r="R515" s="61"/>
    </row>
    <row r="516" spans="1:18" s="44" customFormat="1" ht="33.75" customHeight="1" outlineLevel="2" x14ac:dyDescent="0.25">
      <c r="A516" s="6" t="s">
        <v>12</v>
      </c>
      <c r="B516" s="8" t="s">
        <v>1082</v>
      </c>
      <c r="C516" s="8" t="s">
        <v>49</v>
      </c>
      <c r="D516" s="8" t="s">
        <v>1083</v>
      </c>
      <c r="E516" s="8" t="s">
        <v>29</v>
      </c>
      <c r="F516" s="8" t="s">
        <v>72</v>
      </c>
      <c r="G516" s="8" t="s">
        <v>1084</v>
      </c>
      <c r="H516" s="6" t="s">
        <v>19</v>
      </c>
      <c r="I516" s="19">
        <v>984474</v>
      </c>
      <c r="J516" s="19">
        <v>984474</v>
      </c>
      <c r="K516" s="72">
        <v>100</v>
      </c>
      <c r="L516" s="72">
        <v>393789.60000000003</v>
      </c>
      <c r="M516" s="19"/>
      <c r="N516" s="19">
        <v>984474</v>
      </c>
      <c r="O516" s="19">
        <v>393789.60000000003</v>
      </c>
      <c r="P516" s="12" t="s">
        <v>2891</v>
      </c>
      <c r="Q516" s="76" t="s">
        <v>2892</v>
      </c>
      <c r="R516" s="61"/>
    </row>
    <row r="517" spans="1:18" s="44" customFormat="1" ht="33.75" customHeight="1" outlineLevel="2" x14ac:dyDescent="0.25">
      <c r="A517" s="6" t="s">
        <v>12</v>
      </c>
      <c r="B517" s="8" t="s">
        <v>1165</v>
      </c>
      <c r="C517" s="8" t="s">
        <v>49</v>
      </c>
      <c r="D517" s="8" t="s">
        <v>1167</v>
      </c>
      <c r="E517" s="8" t="s">
        <v>29</v>
      </c>
      <c r="F517" s="8" t="s">
        <v>132</v>
      </c>
      <c r="G517" s="8" t="s">
        <v>1168</v>
      </c>
      <c r="H517" s="6" t="s">
        <v>19</v>
      </c>
      <c r="I517" s="19">
        <v>93844548</v>
      </c>
      <c r="J517" s="19">
        <v>75075638.400000006</v>
      </c>
      <c r="K517" s="72">
        <v>59</v>
      </c>
      <c r="L517" s="72">
        <v>37537819.200000003</v>
      </c>
      <c r="M517" s="19">
        <v>37537819.200000003</v>
      </c>
      <c r="N517" s="19">
        <v>37537819.200000003</v>
      </c>
      <c r="O517" s="19">
        <v>0</v>
      </c>
      <c r="P517" s="6"/>
      <c r="Q517" s="76" t="s">
        <v>2549</v>
      </c>
      <c r="R517" s="61"/>
    </row>
    <row r="518" spans="1:18" s="44" customFormat="1" ht="33.75" customHeight="1" outlineLevel="2" x14ac:dyDescent="0.25">
      <c r="A518" s="6" t="s">
        <v>12</v>
      </c>
      <c r="B518" s="8" t="s">
        <v>1230</v>
      </c>
      <c r="C518" s="8" t="s">
        <v>49</v>
      </c>
      <c r="D518" s="8" t="s">
        <v>1231</v>
      </c>
      <c r="E518" s="8" t="s">
        <v>26</v>
      </c>
      <c r="F518" s="8" t="s">
        <v>433</v>
      </c>
      <c r="G518" s="8" t="s">
        <v>169</v>
      </c>
      <c r="H518" s="6" t="s">
        <v>19</v>
      </c>
      <c r="I518" s="19">
        <v>59611416.310000002</v>
      </c>
      <c r="J518" s="19">
        <v>47689133.048000008</v>
      </c>
      <c r="K518" s="72">
        <v>42</v>
      </c>
      <c r="L518" s="19">
        <v>24766119.989999998</v>
      </c>
      <c r="M518" s="19">
        <v>24766119.989999998</v>
      </c>
      <c r="N518" s="19">
        <v>22923013.05800001</v>
      </c>
      <c r="O518" s="19">
        <v>0</v>
      </c>
      <c r="P518" s="6"/>
      <c r="Q518" s="8" t="s">
        <v>2515</v>
      </c>
      <c r="R518" s="61"/>
    </row>
    <row r="519" spans="1:18" s="44" customFormat="1" ht="33.75" customHeight="1" outlineLevel="2" x14ac:dyDescent="0.25">
      <c r="A519" s="6" t="s">
        <v>12</v>
      </c>
      <c r="B519" s="8" t="s">
        <v>1747</v>
      </c>
      <c r="C519" s="8" t="s">
        <v>49</v>
      </c>
      <c r="D519" s="8" t="s">
        <v>1749</v>
      </c>
      <c r="E519" s="8" t="s">
        <v>2049</v>
      </c>
      <c r="F519" s="8" t="s">
        <v>762</v>
      </c>
      <c r="G519" s="8" t="s">
        <v>1748</v>
      </c>
      <c r="H519" s="6" t="s">
        <v>19</v>
      </c>
      <c r="I519" s="19">
        <v>630000</v>
      </c>
      <c r="J519" s="19">
        <v>630000</v>
      </c>
      <c r="K519" s="37">
        <v>630000</v>
      </c>
      <c r="L519" s="37">
        <v>630000</v>
      </c>
      <c r="M519" s="19">
        <v>630000</v>
      </c>
      <c r="N519" s="19"/>
      <c r="O519" s="19">
        <v>0</v>
      </c>
      <c r="P519" s="6"/>
      <c r="Q519" s="8" t="s">
        <v>2550</v>
      </c>
      <c r="R519" s="61"/>
    </row>
    <row r="520" spans="1:18" s="44" customFormat="1" ht="71.25" customHeight="1" outlineLevel="2" x14ac:dyDescent="0.25">
      <c r="A520" s="6" t="s">
        <v>12</v>
      </c>
      <c r="B520" s="8" t="s">
        <v>1822</v>
      </c>
      <c r="C520" s="8" t="s">
        <v>49</v>
      </c>
      <c r="D520" s="8" t="s">
        <v>1824</v>
      </c>
      <c r="E520" s="8" t="s">
        <v>29</v>
      </c>
      <c r="F520" s="8" t="s">
        <v>182</v>
      </c>
      <c r="G520" s="8" t="s">
        <v>1810</v>
      </c>
      <c r="H520" s="6" t="s">
        <v>19</v>
      </c>
      <c r="I520" s="19">
        <v>2376012.06</v>
      </c>
      <c r="J520" s="19">
        <v>1900809.65</v>
      </c>
      <c r="K520" s="72">
        <v>80</v>
      </c>
      <c r="L520" s="72">
        <v>950404.82400000002</v>
      </c>
      <c r="M520" s="19"/>
      <c r="N520" s="19">
        <v>1900809.65</v>
      </c>
      <c r="O520" s="19">
        <v>950404.82400000002</v>
      </c>
      <c r="P520" s="74">
        <v>45548</v>
      </c>
      <c r="Q520" s="8" t="s">
        <v>2893</v>
      </c>
      <c r="R520" s="61"/>
    </row>
    <row r="521" spans="1:18" s="44" customFormat="1" ht="62.25" customHeight="1" outlineLevel="2" x14ac:dyDescent="0.25">
      <c r="A521" s="6" t="s">
        <v>12</v>
      </c>
      <c r="B521" s="8" t="s">
        <v>2506</v>
      </c>
      <c r="C521" s="8" t="s">
        <v>49</v>
      </c>
      <c r="D521" s="8" t="s">
        <v>2902</v>
      </c>
      <c r="E521" s="8" t="s">
        <v>29</v>
      </c>
      <c r="F521" s="8" t="s">
        <v>433</v>
      </c>
      <c r="G521" s="8" t="s">
        <v>2516</v>
      </c>
      <c r="H521" s="6" t="s">
        <v>19</v>
      </c>
      <c r="I521" s="19">
        <v>5966344.1299999999</v>
      </c>
      <c r="J521" s="19">
        <v>5966344.1299999999</v>
      </c>
      <c r="K521" s="37">
        <v>5966344.1299999999</v>
      </c>
      <c r="L521" s="37">
        <v>4773075.3</v>
      </c>
      <c r="M521" s="19"/>
      <c r="N521" s="19">
        <v>5966344.1299999999</v>
      </c>
      <c r="O521" s="19">
        <v>4773075.3</v>
      </c>
      <c r="P521" s="74">
        <v>45548</v>
      </c>
      <c r="Q521" s="8" t="s">
        <v>2878</v>
      </c>
      <c r="R521" s="61"/>
    </row>
    <row r="522" spans="1:18" s="44" customFormat="1" ht="57" customHeight="1" outlineLevel="2" x14ac:dyDescent="0.25">
      <c r="A522" s="6" t="s">
        <v>12</v>
      </c>
      <c r="B522" s="8" t="s">
        <v>247</v>
      </c>
      <c r="C522" s="8" t="s">
        <v>49</v>
      </c>
      <c r="D522" s="8" t="s">
        <v>2551</v>
      </c>
      <c r="E522" s="8" t="s">
        <v>29</v>
      </c>
      <c r="F522" s="8" t="s">
        <v>72</v>
      </c>
      <c r="G522" s="8" t="s">
        <v>249</v>
      </c>
      <c r="H522" s="6" t="s">
        <v>19</v>
      </c>
      <c r="I522" s="19">
        <v>6277200</v>
      </c>
      <c r="J522" s="19">
        <v>6277200</v>
      </c>
      <c r="K522" s="72">
        <v>100</v>
      </c>
      <c r="L522" s="72">
        <v>2510880</v>
      </c>
      <c r="M522" s="19"/>
      <c r="N522" s="19">
        <v>6277200</v>
      </c>
      <c r="O522" s="19">
        <v>2510880</v>
      </c>
      <c r="P522" s="73">
        <v>45536</v>
      </c>
      <c r="Q522" s="8" t="s">
        <v>2543</v>
      </c>
      <c r="R522" s="61"/>
    </row>
    <row r="523" spans="1:18" s="44" customFormat="1" ht="66" customHeight="1" outlineLevel="2" x14ac:dyDescent="0.25">
      <c r="A523" s="6" t="s">
        <v>12</v>
      </c>
      <c r="B523" s="2" t="s">
        <v>551</v>
      </c>
      <c r="C523" s="8" t="s">
        <v>49</v>
      </c>
      <c r="D523" s="2" t="s">
        <v>2604</v>
      </c>
      <c r="E523" s="8" t="s">
        <v>29</v>
      </c>
      <c r="F523" s="2" t="s">
        <v>72</v>
      </c>
      <c r="G523" s="2" t="s">
        <v>422</v>
      </c>
      <c r="H523" s="3" t="s">
        <v>19</v>
      </c>
      <c r="I523" s="19">
        <v>32170162.800000001</v>
      </c>
      <c r="J523" s="19">
        <v>32170162.800000001</v>
      </c>
      <c r="K523" s="72">
        <v>100</v>
      </c>
      <c r="L523" s="72">
        <v>12868065.120000001</v>
      </c>
      <c r="M523" s="19"/>
      <c r="N523" s="19">
        <v>32170162.800000001</v>
      </c>
      <c r="O523" s="19">
        <v>12868065.120000001</v>
      </c>
      <c r="P523" s="74">
        <v>45547</v>
      </c>
      <c r="Q523" s="8" t="s">
        <v>2894</v>
      </c>
      <c r="R523" s="61"/>
    </row>
    <row r="524" spans="1:18" s="44" customFormat="1" ht="159.75" customHeight="1" outlineLevel="2" x14ac:dyDescent="0.25">
      <c r="A524" s="6" t="s">
        <v>12</v>
      </c>
      <c r="B524" s="8" t="s">
        <v>421</v>
      </c>
      <c r="C524" s="8" t="s">
        <v>49</v>
      </c>
      <c r="D524" s="8" t="s">
        <v>424</v>
      </c>
      <c r="E524" s="8" t="s">
        <v>29</v>
      </c>
      <c r="F524" s="8" t="s">
        <v>182</v>
      </c>
      <c r="G524" s="8" t="s">
        <v>422</v>
      </c>
      <c r="H524" s="6" t="s">
        <v>19</v>
      </c>
      <c r="I524" s="19">
        <v>24393999.600000001</v>
      </c>
      <c r="J524" s="19">
        <v>19515199.68</v>
      </c>
      <c r="K524" s="72">
        <v>80</v>
      </c>
      <c r="L524" s="72">
        <v>9757599.8400000017</v>
      </c>
      <c r="M524" s="77">
        <v>9757599.8399999999</v>
      </c>
      <c r="N524" s="19">
        <v>9757599.8399999999</v>
      </c>
      <c r="O524" s="19">
        <v>0</v>
      </c>
      <c r="P524" s="6"/>
      <c r="Q524" s="8" t="s">
        <v>2505</v>
      </c>
      <c r="R524" s="61"/>
    </row>
    <row r="525" spans="1:18" ht="134.25" customHeight="1" outlineLevel="2" x14ac:dyDescent="0.2">
      <c r="A525" s="6" t="s">
        <v>12</v>
      </c>
      <c r="B525" s="8" t="s">
        <v>763</v>
      </c>
      <c r="C525" s="8" t="s">
        <v>49</v>
      </c>
      <c r="D525" s="8" t="s">
        <v>2552</v>
      </c>
      <c r="E525" s="8" t="s">
        <v>1949</v>
      </c>
      <c r="F525" s="8" t="s">
        <v>72</v>
      </c>
      <c r="G525" s="8" t="s">
        <v>422</v>
      </c>
      <c r="H525" s="6" t="s">
        <v>19</v>
      </c>
      <c r="I525" s="19">
        <v>3238732.8</v>
      </c>
      <c r="J525" s="19">
        <v>3238732.8</v>
      </c>
      <c r="K525" s="72">
        <v>100</v>
      </c>
      <c r="L525" s="72">
        <v>1295493.1200000001</v>
      </c>
      <c r="M525" s="19"/>
      <c r="N525" s="19">
        <v>3238732.8</v>
      </c>
      <c r="O525" s="19">
        <v>1295493.1200000001</v>
      </c>
      <c r="P525" s="6"/>
      <c r="Q525" s="8" t="s">
        <v>2876</v>
      </c>
    </row>
    <row r="526" spans="1:18" s="44" customFormat="1" ht="75.75" customHeight="1" outlineLevel="2" x14ac:dyDescent="0.25">
      <c r="A526" s="6" t="s">
        <v>12</v>
      </c>
      <c r="B526" s="2" t="s">
        <v>1315</v>
      </c>
      <c r="C526" s="8" t="s">
        <v>49</v>
      </c>
      <c r="D526" s="2" t="s">
        <v>1320</v>
      </c>
      <c r="E526" s="8" t="s">
        <v>1949</v>
      </c>
      <c r="F526" s="2" t="s">
        <v>72</v>
      </c>
      <c r="G526" s="2" t="s">
        <v>422</v>
      </c>
      <c r="H526" s="3" t="s">
        <v>19</v>
      </c>
      <c r="I526" s="19">
        <v>37752369</v>
      </c>
      <c r="J526" s="19">
        <v>37752369</v>
      </c>
      <c r="K526" s="72">
        <v>100</v>
      </c>
      <c r="L526" s="72">
        <v>15100947.600000001</v>
      </c>
      <c r="M526" s="19"/>
      <c r="N526" s="19">
        <v>37752369</v>
      </c>
      <c r="O526" s="19">
        <v>15100947.600000001</v>
      </c>
      <c r="P526" s="6"/>
      <c r="Q526" s="8" t="s">
        <v>2875</v>
      </c>
      <c r="R526" s="61"/>
    </row>
    <row r="527" spans="1:18" s="44" customFormat="1" ht="64.5" customHeight="1" outlineLevel="2" x14ac:dyDescent="0.25">
      <c r="A527" s="6" t="s">
        <v>12</v>
      </c>
      <c r="B527" s="2" t="s">
        <v>2467</v>
      </c>
      <c r="C527" s="8" t="s">
        <v>49</v>
      </c>
      <c r="D527" s="8" t="s">
        <v>1325</v>
      </c>
      <c r="E527" s="8" t="s">
        <v>1949</v>
      </c>
      <c r="F527" s="8" t="s">
        <v>72</v>
      </c>
      <c r="G527" s="8" t="s">
        <v>1326</v>
      </c>
      <c r="H527" s="6" t="s">
        <v>19</v>
      </c>
      <c r="I527" s="19">
        <v>627119.32999999996</v>
      </c>
      <c r="J527" s="19">
        <v>627119.32999999996</v>
      </c>
      <c r="K527" s="72">
        <v>100</v>
      </c>
      <c r="L527" s="72">
        <v>250847.73199999999</v>
      </c>
      <c r="M527" s="19"/>
      <c r="N527" s="19">
        <v>627119.32999999996</v>
      </c>
      <c r="O527" s="19">
        <v>250847.73199999999</v>
      </c>
      <c r="P527" s="78">
        <v>45536</v>
      </c>
      <c r="Q527" s="8" t="s">
        <v>2889</v>
      </c>
      <c r="R527" s="61"/>
    </row>
    <row r="528" spans="1:18" ht="48.75" customHeight="1" outlineLevel="2" x14ac:dyDescent="0.2">
      <c r="A528" s="6" t="s">
        <v>12</v>
      </c>
      <c r="B528" s="2" t="s">
        <v>1315</v>
      </c>
      <c r="C528" s="8" t="s">
        <v>49</v>
      </c>
      <c r="D528" s="2" t="s">
        <v>1333</v>
      </c>
      <c r="E528" s="8" t="s">
        <v>1949</v>
      </c>
      <c r="F528" s="2" t="s">
        <v>72</v>
      </c>
      <c r="G528" s="2" t="s">
        <v>1334</v>
      </c>
      <c r="H528" s="3" t="s">
        <v>19</v>
      </c>
      <c r="I528" s="19">
        <v>80000000</v>
      </c>
      <c r="J528" s="19">
        <v>80000000</v>
      </c>
      <c r="K528" s="72">
        <v>100</v>
      </c>
      <c r="L528" s="72">
        <v>32000000</v>
      </c>
      <c r="M528" s="19"/>
      <c r="N528" s="19">
        <v>80000000</v>
      </c>
      <c r="O528" s="19">
        <v>32000000</v>
      </c>
      <c r="P528" s="6"/>
      <c r="Q528" s="8" t="s">
        <v>2883</v>
      </c>
    </row>
    <row r="529" spans="1:18" s="44" customFormat="1" ht="60" customHeight="1" outlineLevel="2" x14ac:dyDescent="0.25">
      <c r="A529" s="6" t="s">
        <v>12</v>
      </c>
      <c r="B529" s="8" t="s">
        <v>2517</v>
      </c>
      <c r="C529" s="8" t="s">
        <v>49</v>
      </c>
      <c r="D529" s="8" t="s">
        <v>1335</v>
      </c>
      <c r="E529" s="8" t="s">
        <v>1949</v>
      </c>
      <c r="F529" s="8" t="s">
        <v>72</v>
      </c>
      <c r="G529" s="8" t="s">
        <v>1324</v>
      </c>
      <c r="H529" s="6" t="s">
        <v>19</v>
      </c>
      <c r="I529" s="19">
        <v>11000000</v>
      </c>
      <c r="J529" s="19">
        <v>11000000</v>
      </c>
      <c r="K529" s="72">
        <v>100</v>
      </c>
      <c r="L529" s="72">
        <v>4400000</v>
      </c>
      <c r="M529" s="19"/>
      <c r="N529" s="19">
        <v>11000000</v>
      </c>
      <c r="O529" s="19">
        <v>4400000</v>
      </c>
      <c r="P529" s="6"/>
      <c r="Q529" s="8" t="s">
        <v>2895</v>
      </c>
      <c r="R529" s="61"/>
    </row>
    <row r="530" spans="1:18" ht="57" customHeight="1" outlineLevel="2" x14ac:dyDescent="0.2">
      <c r="A530" s="6" t="s">
        <v>12</v>
      </c>
      <c r="B530" s="8" t="s">
        <v>1315</v>
      </c>
      <c r="C530" s="8" t="s">
        <v>49</v>
      </c>
      <c r="D530" s="8" t="s">
        <v>1336</v>
      </c>
      <c r="E530" s="8" t="s">
        <v>1949</v>
      </c>
      <c r="F530" s="8" t="s">
        <v>433</v>
      </c>
      <c r="G530" s="8" t="s">
        <v>170</v>
      </c>
      <c r="H530" s="6" t="s">
        <v>19</v>
      </c>
      <c r="I530" s="19">
        <v>2850000</v>
      </c>
      <c r="J530" s="19">
        <v>2850000</v>
      </c>
      <c r="K530" s="72">
        <v>100</v>
      </c>
      <c r="L530" s="72">
        <v>1140000</v>
      </c>
      <c r="M530" s="19"/>
      <c r="N530" s="19">
        <v>2850000</v>
      </c>
      <c r="O530" s="19">
        <v>1140000</v>
      </c>
      <c r="P530" s="6"/>
      <c r="Q530" s="8" t="s">
        <v>2553</v>
      </c>
    </row>
    <row r="531" spans="1:18" s="44" customFormat="1" ht="57" customHeight="1" outlineLevel="2" x14ac:dyDescent="0.25">
      <c r="A531" s="6" t="s">
        <v>12</v>
      </c>
      <c r="B531" s="8" t="s">
        <v>2468</v>
      </c>
      <c r="C531" s="8">
        <v>424</v>
      </c>
      <c r="D531" s="8"/>
      <c r="E531" s="8" t="s">
        <v>1949</v>
      </c>
      <c r="F531" s="8" t="s">
        <v>2518</v>
      </c>
      <c r="G531" s="8" t="s">
        <v>337</v>
      </c>
      <c r="H531" s="6" t="s">
        <v>19</v>
      </c>
      <c r="I531" s="19">
        <v>900000</v>
      </c>
      <c r="J531" s="19">
        <v>900000</v>
      </c>
      <c r="K531" s="72">
        <v>100</v>
      </c>
      <c r="L531" s="72">
        <v>360000</v>
      </c>
      <c r="M531" s="19"/>
      <c r="N531" s="19">
        <v>900000</v>
      </c>
      <c r="O531" s="19">
        <v>360000</v>
      </c>
      <c r="P531" s="78">
        <v>45536</v>
      </c>
      <c r="Q531" s="8" t="s">
        <v>2896</v>
      </c>
      <c r="R531" s="61"/>
    </row>
    <row r="532" spans="1:18" s="44" customFormat="1" ht="33.75" customHeight="1" outlineLevel="1" x14ac:dyDescent="0.25">
      <c r="A532" s="158"/>
      <c r="B532" s="159"/>
      <c r="C532" s="152" t="s">
        <v>1945</v>
      </c>
      <c r="D532" s="8"/>
      <c r="E532" s="159"/>
      <c r="F532" s="8"/>
      <c r="G532" s="159"/>
      <c r="H532" s="6"/>
      <c r="I532" s="28">
        <f t="shared" ref="I532:O532" si="23">SUBTOTAL(9,I498:I531)</f>
        <v>4605008518.4100008</v>
      </c>
      <c r="J532" s="28">
        <f t="shared" si="23"/>
        <v>3731825329.8780003</v>
      </c>
      <c r="K532" s="28">
        <f t="shared" si="23"/>
        <v>6599111.1299999999</v>
      </c>
      <c r="L532" s="160">
        <f t="shared" si="23"/>
        <v>1859299650.2959998</v>
      </c>
      <c r="M532" s="160">
        <f t="shared" si="23"/>
        <v>1783256147</v>
      </c>
      <c r="N532" s="28">
        <f t="shared" si="23"/>
        <v>1948569182.878</v>
      </c>
      <c r="O532" s="160">
        <f t="shared" si="23"/>
        <v>76043503.296000004</v>
      </c>
      <c r="P532" s="6"/>
      <c r="Q532" s="140"/>
      <c r="R532" s="61"/>
    </row>
    <row r="533" spans="1:18" s="44" customFormat="1" ht="33.75" customHeight="1" outlineLevel="2" x14ac:dyDescent="0.25">
      <c r="A533" s="6" t="s">
        <v>12</v>
      </c>
      <c r="B533" s="8" t="s">
        <v>628</v>
      </c>
      <c r="C533" s="8" t="s">
        <v>39</v>
      </c>
      <c r="D533" s="8" t="s">
        <v>631</v>
      </c>
      <c r="E533" s="8" t="s">
        <v>26</v>
      </c>
      <c r="F533" s="8" t="s">
        <v>27</v>
      </c>
      <c r="G533" s="8" t="s">
        <v>632</v>
      </c>
      <c r="H533" s="6" t="s">
        <v>19</v>
      </c>
      <c r="I533" s="19">
        <v>48819.6</v>
      </c>
      <c r="J533" s="19">
        <v>48819.6</v>
      </c>
      <c r="K533" s="72">
        <v>100</v>
      </c>
      <c r="L533" s="19">
        <f t="shared" ref="L533:L548" si="24">I533*40%</f>
        <v>19527.84</v>
      </c>
      <c r="M533" s="19">
        <v>48819.6</v>
      </c>
      <c r="N533" s="19"/>
      <c r="O533" s="19"/>
      <c r="P533" s="6"/>
      <c r="Q533" s="8"/>
      <c r="R533" s="61"/>
    </row>
    <row r="534" spans="1:18" s="44" customFormat="1" ht="33.75" customHeight="1" outlineLevel="2" x14ac:dyDescent="0.25">
      <c r="A534" s="6" t="s">
        <v>12</v>
      </c>
      <c r="B534" s="8" t="s">
        <v>628</v>
      </c>
      <c r="C534" s="8" t="s">
        <v>39</v>
      </c>
      <c r="D534" s="8" t="s">
        <v>633</v>
      </c>
      <c r="E534" s="8" t="s">
        <v>26</v>
      </c>
      <c r="F534" s="8" t="s">
        <v>27</v>
      </c>
      <c r="G534" s="8" t="s">
        <v>632</v>
      </c>
      <c r="H534" s="6" t="s">
        <v>19</v>
      </c>
      <c r="I534" s="19">
        <v>48819.6</v>
      </c>
      <c r="J534" s="19">
        <v>48819.6</v>
      </c>
      <c r="K534" s="72">
        <v>100</v>
      </c>
      <c r="L534" s="19">
        <f t="shared" si="24"/>
        <v>19527.84</v>
      </c>
      <c r="M534" s="19">
        <v>48819.6</v>
      </c>
      <c r="N534" s="19"/>
      <c r="O534" s="19"/>
      <c r="P534" s="6"/>
      <c r="Q534" s="8"/>
      <c r="R534" s="61"/>
    </row>
    <row r="535" spans="1:18" s="44" customFormat="1" ht="33.75" customHeight="1" outlineLevel="2" x14ac:dyDescent="0.25">
      <c r="A535" s="6" t="s">
        <v>12</v>
      </c>
      <c r="B535" s="8" t="s">
        <v>628</v>
      </c>
      <c r="C535" s="8" t="s">
        <v>39</v>
      </c>
      <c r="D535" s="8" t="s">
        <v>634</v>
      </c>
      <c r="E535" s="8" t="s">
        <v>26</v>
      </c>
      <c r="F535" s="8" t="s">
        <v>27</v>
      </c>
      <c r="G535" s="8" t="s">
        <v>632</v>
      </c>
      <c r="H535" s="6" t="s">
        <v>19</v>
      </c>
      <c r="I535" s="19">
        <v>48819.6</v>
      </c>
      <c r="J535" s="19">
        <v>48819.6</v>
      </c>
      <c r="K535" s="72">
        <v>100</v>
      </c>
      <c r="L535" s="19">
        <f t="shared" si="24"/>
        <v>19527.84</v>
      </c>
      <c r="M535" s="19">
        <v>48819.6</v>
      </c>
      <c r="N535" s="19"/>
      <c r="O535" s="19"/>
      <c r="P535" s="6"/>
      <c r="Q535" s="8"/>
      <c r="R535" s="61"/>
    </row>
    <row r="536" spans="1:18" s="44" customFormat="1" ht="40.5" customHeight="1" outlineLevel="2" x14ac:dyDescent="0.25">
      <c r="A536" s="6" t="s">
        <v>12</v>
      </c>
      <c r="B536" s="8" t="s">
        <v>50</v>
      </c>
      <c r="C536" s="8" t="s">
        <v>39</v>
      </c>
      <c r="D536" s="8" t="s">
        <v>52</v>
      </c>
      <c r="E536" s="8" t="s">
        <v>29</v>
      </c>
      <c r="F536" s="8" t="s">
        <v>53</v>
      </c>
      <c r="G536" s="8" t="s">
        <v>51</v>
      </c>
      <c r="H536" s="6" t="s">
        <v>19</v>
      </c>
      <c r="I536" s="19">
        <v>606600</v>
      </c>
      <c r="J536" s="19">
        <v>606600</v>
      </c>
      <c r="K536" s="72">
        <v>100</v>
      </c>
      <c r="L536" s="72">
        <f t="shared" si="24"/>
        <v>242640</v>
      </c>
      <c r="M536" s="19"/>
      <c r="N536" s="19">
        <v>606600</v>
      </c>
      <c r="O536" s="19">
        <f>L536-M536</f>
        <v>242640</v>
      </c>
      <c r="P536" s="6"/>
      <c r="Q536" s="8" t="s">
        <v>2627</v>
      </c>
      <c r="R536" s="61"/>
    </row>
    <row r="537" spans="1:18" s="44" customFormat="1" ht="33.75" customHeight="1" outlineLevel="2" x14ac:dyDescent="0.25">
      <c r="A537" s="6" t="s">
        <v>12</v>
      </c>
      <c r="B537" s="8" t="s">
        <v>239</v>
      </c>
      <c r="C537" s="8" t="s">
        <v>39</v>
      </c>
      <c r="D537" s="8" t="s">
        <v>246</v>
      </c>
      <c r="E537" s="8" t="s">
        <v>29</v>
      </c>
      <c r="F537" s="8" t="s">
        <v>27</v>
      </c>
      <c r="G537" s="8" t="s">
        <v>240</v>
      </c>
      <c r="H537" s="6" t="s">
        <v>19</v>
      </c>
      <c r="I537" s="19">
        <v>6750</v>
      </c>
      <c r="J537" s="19">
        <v>6750</v>
      </c>
      <c r="K537" s="72">
        <v>100</v>
      </c>
      <c r="L537" s="72">
        <f t="shared" si="24"/>
        <v>2700</v>
      </c>
      <c r="M537" s="19"/>
      <c r="N537" s="19">
        <v>6750</v>
      </c>
      <c r="O537" s="19">
        <f t="shared" ref="O537:O600" si="25">L537-M537</f>
        <v>2700</v>
      </c>
      <c r="P537" s="79"/>
      <c r="Q537" s="8" t="s">
        <v>2628</v>
      </c>
      <c r="R537" s="61"/>
    </row>
    <row r="538" spans="1:18" s="44" customFormat="1" ht="33.75" customHeight="1" outlineLevel="2" x14ac:dyDescent="0.25">
      <c r="A538" s="6" t="s">
        <v>12</v>
      </c>
      <c r="B538" s="8" t="s">
        <v>512</v>
      </c>
      <c r="C538" s="8" t="s">
        <v>39</v>
      </c>
      <c r="D538" s="8" t="s">
        <v>514</v>
      </c>
      <c r="E538" s="8" t="s">
        <v>29</v>
      </c>
      <c r="F538" s="8" t="s">
        <v>27</v>
      </c>
      <c r="G538" s="8" t="s">
        <v>513</v>
      </c>
      <c r="H538" s="6" t="s">
        <v>19</v>
      </c>
      <c r="I538" s="19">
        <v>475760.8</v>
      </c>
      <c r="J538" s="19">
        <v>475760.8</v>
      </c>
      <c r="K538" s="72">
        <v>100</v>
      </c>
      <c r="L538" s="72">
        <f t="shared" si="24"/>
        <v>190304.32</v>
      </c>
      <c r="M538" s="19"/>
      <c r="N538" s="19">
        <v>475760.8</v>
      </c>
      <c r="O538" s="19">
        <f t="shared" si="25"/>
        <v>190304.32</v>
      </c>
      <c r="P538" s="6"/>
      <c r="Q538" s="8" t="s">
        <v>2629</v>
      </c>
      <c r="R538" s="61"/>
    </row>
    <row r="539" spans="1:18" s="44" customFormat="1" ht="33.75" customHeight="1" outlineLevel="2" x14ac:dyDescent="0.25">
      <c r="A539" s="6" t="s">
        <v>12</v>
      </c>
      <c r="B539" s="8" t="s">
        <v>628</v>
      </c>
      <c r="C539" s="8" t="s">
        <v>39</v>
      </c>
      <c r="D539" s="8" t="s">
        <v>635</v>
      </c>
      <c r="E539" s="8" t="s">
        <v>29</v>
      </c>
      <c r="F539" s="8" t="s">
        <v>27</v>
      </c>
      <c r="G539" s="8" t="s">
        <v>630</v>
      </c>
      <c r="H539" s="6" t="s">
        <v>19</v>
      </c>
      <c r="I539" s="19">
        <v>32896.800000000003</v>
      </c>
      <c r="J539" s="19">
        <v>32896.800000000003</v>
      </c>
      <c r="K539" s="72">
        <v>100</v>
      </c>
      <c r="L539" s="72">
        <f t="shared" si="24"/>
        <v>13158.720000000001</v>
      </c>
      <c r="M539" s="19"/>
      <c r="N539" s="19">
        <v>32896.800000000003</v>
      </c>
      <c r="O539" s="19">
        <f t="shared" si="25"/>
        <v>13158.720000000001</v>
      </c>
      <c r="P539" s="6"/>
      <c r="Q539" s="8" t="s">
        <v>2481</v>
      </c>
      <c r="R539" s="61"/>
    </row>
    <row r="540" spans="1:18" s="44" customFormat="1" ht="33.75" customHeight="1" outlineLevel="2" x14ac:dyDescent="0.25">
      <c r="A540" s="6" t="s">
        <v>12</v>
      </c>
      <c r="B540" s="8" t="s">
        <v>628</v>
      </c>
      <c r="C540" s="8" t="s">
        <v>39</v>
      </c>
      <c r="D540" s="8" t="s">
        <v>636</v>
      </c>
      <c r="E540" s="8" t="s">
        <v>29</v>
      </c>
      <c r="F540" s="8" t="s">
        <v>27</v>
      </c>
      <c r="G540" s="8" t="s">
        <v>630</v>
      </c>
      <c r="H540" s="6" t="s">
        <v>19</v>
      </c>
      <c r="I540" s="19">
        <v>42580.800000000003</v>
      </c>
      <c r="J540" s="19">
        <v>42580.800000000003</v>
      </c>
      <c r="K540" s="72">
        <v>100</v>
      </c>
      <c r="L540" s="72">
        <f t="shared" si="24"/>
        <v>17032.320000000003</v>
      </c>
      <c r="M540" s="19"/>
      <c r="N540" s="19">
        <v>42580.800000000003</v>
      </c>
      <c r="O540" s="19">
        <f t="shared" si="25"/>
        <v>17032.320000000003</v>
      </c>
      <c r="P540" s="6"/>
      <c r="Q540" s="8" t="s">
        <v>2481</v>
      </c>
      <c r="R540" s="61"/>
    </row>
    <row r="541" spans="1:18" s="44" customFormat="1" ht="33.75" customHeight="1" outlineLevel="2" x14ac:dyDescent="0.25">
      <c r="A541" s="6" t="s">
        <v>12</v>
      </c>
      <c r="B541" s="8" t="s">
        <v>1134</v>
      </c>
      <c r="C541" s="8" t="s">
        <v>39</v>
      </c>
      <c r="D541" s="8" t="s">
        <v>1136</v>
      </c>
      <c r="E541" s="8" t="s">
        <v>29</v>
      </c>
      <c r="F541" s="8" t="s">
        <v>1137</v>
      </c>
      <c r="G541" s="8" t="s">
        <v>1135</v>
      </c>
      <c r="H541" s="6" t="s">
        <v>19</v>
      </c>
      <c r="I541" s="19">
        <v>125640</v>
      </c>
      <c r="J541" s="19">
        <v>125640</v>
      </c>
      <c r="K541" s="72">
        <v>100</v>
      </c>
      <c r="L541" s="72">
        <f t="shared" si="24"/>
        <v>50256</v>
      </c>
      <c r="M541" s="19"/>
      <c r="N541" s="19">
        <v>125640</v>
      </c>
      <c r="O541" s="19">
        <f t="shared" si="25"/>
        <v>50256</v>
      </c>
      <c r="P541" s="6"/>
      <c r="Q541" s="8" t="s">
        <v>2630</v>
      </c>
      <c r="R541" s="61"/>
    </row>
    <row r="542" spans="1:18" s="44" customFormat="1" ht="33.75" customHeight="1" outlineLevel="2" x14ac:dyDescent="0.25">
      <c r="A542" s="6" t="s">
        <v>12</v>
      </c>
      <c r="B542" s="8" t="s">
        <v>1627</v>
      </c>
      <c r="C542" s="8" t="s">
        <v>39</v>
      </c>
      <c r="D542" s="8" t="s">
        <v>1629</v>
      </c>
      <c r="E542" s="8" t="s">
        <v>29</v>
      </c>
      <c r="F542" s="8" t="s">
        <v>149</v>
      </c>
      <c r="G542" s="8" t="s">
        <v>1628</v>
      </c>
      <c r="H542" s="6" t="s">
        <v>19</v>
      </c>
      <c r="I542" s="19">
        <v>149600</v>
      </c>
      <c r="J542" s="19">
        <v>149600</v>
      </c>
      <c r="K542" s="72">
        <v>100</v>
      </c>
      <c r="L542" s="72">
        <f t="shared" si="24"/>
        <v>59840</v>
      </c>
      <c r="M542" s="19"/>
      <c r="N542" s="19">
        <v>149600</v>
      </c>
      <c r="O542" s="19">
        <f t="shared" si="25"/>
        <v>59840</v>
      </c>
      <c r="P542" s="79"/>
      <c r="Q542" s="8" t="s">
        <v>2631</v>
      </c>
      <c r="R542" s="61"/>
    </row>
    <row r="543" spans="1:18" s="44" customFormat="1" ht="33.75" customHeight="1" outlineLevel="2" x14ac:dyDescent="0.25">
      <c r="A543" s="6" t="s">
        <v>12</v>
      </c>
      <c r="B543" s="8" t="s">
        <v>1782</v>
      </c>
      <c r="C543" s="8" t="s">
        <v>39</v>
      </c>
      <c r="D543" s="8" t="s">
        <v>1786</v>
      </c>
      <c r="E543" s="8" t="s">
        <v>29</v>
      </c>
      <c r="F543" s="8" t="s">
        <v>27</v>
      </c>
      <c r="G543" s="8" t="s">
        <v>1785</v>
      </c>
      <c r="H543" s="6" t="s">
        <v>19</v>
      </c>
      <c r="I543" s="19">
        <v>25725</v>
      </c>
      <c r="J543" s="80">
        <v>25725</v>
      </c>
      <c r="K543" s="72">
        <v>100</v>
      </c>
      <c r="L543" s="80">
        <f t="shared" si="24"/>
        <v>10290</v>
      </c>
      <c r="M543" s="80"/>
      <c r="N543" s="80">
        <v>25725</v>
      </c>
      <c r="O543" s="19">
        <f t="shared" si="25"/>
        <v>10290</v>
      </c>
      <c r="P543" s="6"/>
      <c r="Q543" s="8" t="s">
        <v>2481</v>
      </c>
      <c r="R543" s="61"/>
    </row>
    <row r="544" spans="1:18" s="44" customFormat="1" ht="33.75" customHeight="1" outlineLevel="2" x14ac:dyDescent="0.25">
      <c r="A544" s="6" t="s">
        <v>12</v>
      </c>
      <c r="B544" s="8" t="s">
        <v>1794</v>
      </c>
      <c r="C544" s="8" t="s">
        <v>39</v>
      </c>
      <c r="D544" s="8" t="s">
        <v>1795</v>
      </c>
      <c r="E544" s="8" t="s">
        <v>29</v>
      </c>
      <c r="F544" s="8" t="s">
        <v>149</v>
      </c>
      <c r="G544" s="8" t="s">
        <v>1796</v>
      </c>
      <c r="H544" s="6" t="s">
        <v>19</v>
      </c>
      <c r="I544" s="19">
        <v>101376</v>
      </c>
      <c r="J544" s="19">
        <v>81100.800000000003</v>
      </c>
      <c r="K544" s="72">
        <v>80</v>
      </c>
      <c r="L544" s="72">
        <f t="shared" si="24"/>
        <v>40550.400000000001</v>
      </c>
      <c r="M544" s="19"/>
      <c r="N544" s="19">
        <v>81100.800000000003</v>
      </c>
      <c r="O544" s="19">
        <f t="shared" si="25"/>
        <v>40550.400000000001</v>
      </c>
      <c r="P544" s="6"/>
      <c r="Q544" s="8" t="s">
        <v>2411</v>
      </c>
      <c r="R544" s="61"/>
    </row>
    <row r="545" spans="1:18" s="44" customFormat="1" ht="33.75" customHeight="1" outlineLevel="2" x14ac:dyDescent="0.25">
      <c r="A545" s="6" t="s">
        <v>12</v>
      </c>
      <c r="B545" s="8" t="s">
        <v>1934</v>
      </c>
      <c r="C545" s="8" t="s">
        <v>39</v>
      </c>
      <c r="D545" s="8" t="s">
        <v>1935</v>
      </c>
      <c r="E545" s="8" t="s">
        <v>29</v>
      </c>
      <c r="F545" s="8" t="s">
        <v>149</v>
      </c>
      <c r="G545" s="8" t="s">
        <v>321</v>
      </c>
      <c r="H545" s="6" t="s">
        <v>19</v>
      </c>
      <c r="I545" s="19">
        <v>797431.22</v>
      </c>
      <c r="J545" s="19">
        <v>797431.22</v>
      </c>
      <c r="K545" s="72">
        <v>100</v>
      </c>
      <c r="L545" s="19">
        <f t="shared" si="24"/>
        <v>318972.48800000001</v>
      </c>
      <c r="M545" s="19">
        <v>797431.22</v>
      </c>
      <c r="N545" s="19"/>
      <c r="O545" s="19"/>
      <c r="P545" s="6"/>
      <c r="Q545" s="8" t="s">
        <v>2493</v>
      </c>
      <c r="R545" s="61"/>
    </row>
    <row r="546" spans="1:18" s="44" customFormat="1" ht="33.75" customHeight="1" outlineLevel="2" x14ac:dyDescent="0.25">
      <c r="A546" s="6" t="s">
        <v>12</v>
      </c>
      <c r="B546" s="8" t="s">
        <v>146</v>
      </c>
      <c r="C546" s="8" t="s">
        <v>39</v>
      </c>
      <c r="D546" s="8" t="s">
        <v>148</v>
      </c>
      <c r="E546" s="8" t="s">
        <v>29</v>
      </c>
      <c r="F546" s="8" t="s">
        <v>149</v>
      </c>
      <c r="G546" s="8" t="s">
        <v>147</v>
      </c>
      <c r="H546" s="6" t="s">
        <v>19</v>
      </c>
      <c r="I546" s="19">
        <v>61755.65</v>
      </c>
      <c r="J546" s="81">
        <v>61755.65</v>
      </c>
      <c r="K546" s="81">
        <v>100</v>
      </c>
      <c r="L546" s="81">
        <f t="shared" si="24"/>
        <v>24702.260000000002</v>
      </c>
      <c r="M546" s="81"/>
      <c r="N546" s="81">
        <v>61755.65</v>
      </c>
      <c r="O546" s="19">
        <f t="shared" si="25"/>
        <v>24702.260000000002</v>
      </c>
      <c r="P546" s="6"/>
      <c r="Q546" s="8" t="s">
        <v>2837</v>
      </c>
      <c r="R546" s="61"/>
    </row>
    <row r="547" spans="1:18" s="44" customFormat="1" ht="33.75" customHeight="1" outlineLevel="2" x14ac:dyDescent="0.25">
      <c r="A547" s="6" t="s">
        <v>12</v>
      </c>
      <c r="B547" s="8" t="s">
        <v>161</v>
      </c>
      <c r="C547" s="8" t="s">
        <v>39</v>
      </c>
      <c r="D547" s="8" t="s">
        <v>163</v>
      </c>
      <c r="E547" s="8" t="s">
        <v>1949</v>
      </c>
      <c r="F547" s="8" t="s">
        <v>149</v>
      </c>
      <c r="G547" s="8" t="s">
        <v>162</v>
      </c>
      <c r="H547" s="6" t="s">
        <v>19</v>
      </c>
      <c r="I547" s="19">
        <v>14327491.039999999</v>
      </c>
      <c r="J547" s="19">
        <v>11461992.83</v>
      </c>
      <c r="K547" s="72">
        <v>80</v>
      </c>
      <c r="L547" s="72">
        <f t="shared" si="24"/>
        <v>5730996.4160000002</v>
      </c>
      <c r="M547" s="19"/>
      <c r="N547" s="19">
        <v>11461992.83</v>
      </c>
      <c r="O547" s="19">
        <f t="shared" si="25"/>
        <v>5730996.4160000002</v>
      </c>
      <c r="P547" s="6"/>
      <c r="Q547" s="8" t="s">
        <v>2820</v>
      </c>
      <c r="R547" s="61"/>
    </row>
    <row r="548" spans="1:18" s="44" customFormat="1" ht="33.75" customHeight="1" outlineLevel="2" x14ac:dyDescent="0.25">
      <c r="A548" s="6" t="s">
        <v>12</v>
      </c>
      <c r="B548" s="8" t="s">
        <v>231</v>
      </c>
      <c r="C548" s="8" t="s">
        <v>39</v>
      </c>
      <c r="D548" s="8" t="s">
        <v>236</v>
      </c>
      <c r="E548" s="8" t="s">
        <v>1949</v>
      </c>
      <c r="F548" s="8" t="s">
        <v>28</v>
      </c>
      <c r="G548" s="8" t="s">
        <v>237</v>
      </c>
      <c r="H548" s="6" t="s">
        <v>19</v>
      </c>
      <c r="I548" s="19">
        <v>86047.92</v>
      </c>
      <c r="J548" s="19">
        <v>68838.34</v>
      </c>
      <c r="K548" s="72">
        <v>80</v>
      </c>
      <c r="L548" s="72">
        <f t="shared" si="24"/>
        <v>34419.167999999998</v>
      </c>
      <c r="M548" s="19"/>
      <c r="N548" s="19">
        <v>68838.34</v>
      </c>
      <c r="O548" s="19">
        <f t="shared" si="25"/>
        <v>34419.167999999998</v>
      </c>
      <c r="P548" s="6" t="s">
        <v>2619</v>
      </c>
      <c r="Q548" s="8" t="s">
        <v>2412</v>
      </c>
      <c r="R548" s="61"/>
    </row>
    <row r="549" spans="1:18" s="44" customFormat="1" ht="33.75" customHeight="1" outlineLevel="2" x14ac:dyDescent="0.25">
      <c r="A549" s="6" t="s">
        <v>12</v>
      </c>
      <c r="B549" s="8" t="s">
        <v>250</v>
      </c>
      <c r="C549" s="8" t="s">
        <v>39</v>
      </c>
      <c r="D549" s="8" t="s">
        <v>255</v>
      </c>
      <c r="E549" s="8" t="s">
        <v>1949</v>
      </c>
      <c r="F549" s="8" t="s">
        <v>149</v>
      </c>
      <c r="G549" s="8" t="s">
        <v>252</v>
      </c>
      <c r="H549" s="6" t="s">
        <v>19</v>
      </c>
      <c r="I549" s="19">
        <v>3159320.06</v>
      </c>
      <c r="J549" s="19">
        <v>3344759.27</v>
      </c>
      <c r="K549" s="72">
        <v>80</v>
      </c>
      <c r="L549" s="72">
        <v>3344759.27</v>
      </c>
      <c r="M549" s="19"/>
      <c r="N549" s="19">
        <v>3344759.27</v>
      </c>
      <c r="O549" s="19">
        <f t="shared" si="25"/>
        <v>3344759.27</v>
      </c>
      <c r="P549" s="79" t="s">
        <v>2632</v>
      </c>
      <c r="Q549" s="8" t="s">
        <v>2838</v>
      </c>
      <c r="R549" s="61"/>
    </row>
    <row r="550" spans="1:18" s="44" customFormat="1" ht="33.75" customHeight="1" outlineLevel="2" x14ac:dyDescent="0.25">
      <c r="A550" s="6" t="s">
        <v>12</v>
      </c>
      <c r="B550" s="8" t="s">
        <v>336</v>
      </c>
      <c r="C550" s="8" t="s">
        <v>39</v>
      </c>
      <c r="D550" s="8" t="s">
        <v>339</v>
      </c>
      <c r="E550" s="8" t="s">
        <v>1949</v>
      </c>
      <c r="F550" s="8" t="s">
        <v>28</v>
      </c>
      <c r="G550" s="8" t="s">
        <v>340</v>
      </c>
      <c r="H550" s="6" t="s">
        <v>19</v>
      </c>
      <c r="I550" s="19">
        <v>35050.42</v>
      </c>
      <c r="J550" s="19">
        <v>28040.34</v>
      </c>
      <c r="K550" s="72">
        <v>80</v>
      </c>
      <c r="L550" s="72">
        <f t="shared" ref="L550:L613" si="26">I550*40%</f>
        <v>14020.168</v>
      </c>
      <c r="M550" s="19"/>
      <c r="N550" s="19">
        <v>28040.34</v>
      </c>
      <c r="O550" s="19">
        <f t="shared" si="25"/>
        <v>14020.168</v>
      </c>
      <c r="P550" s="6" t="s">
        <v>2619</v>
      </c>
      <c r="Q550" s="8" t="s">
        <v>2412</v>
      </c>
      <c r="R550" s="61"/>
    </row>
    <row r="551" spans="1:18" s="44" customFormat="1" ht="33.75" customHeight="1" outlineLevel="2" x14ac:dyDescent="0.25">
      <c r="A551" s="6" t="s">
        <v>12</v>
      </c>
      <c r="B551" s="8" t="s">
        <v>448</v>
      </c>
      <c r="C551" s="8" t="s">
        <v>39</v>
      </c>
      <c r="D551" s="8" t="s">
        <v>451</v>
      </c>
      <c r="E551" s="8" t="s">
        <v>1949</v>
      </c>
      <c r="F551" s="8" t="s">
        <v>149</v>
      </c>
      <c r="G551" s="8" t="s">
        <v>450</v>
      </c>
      <c r="H551" s="6" t="s">
        <v>19</v>
      </c>
      <c r="I551" s="19">
        <v>276972.48</v>
      </c>
      <c r="J551" s="19">
        <v>221577.98</v>
      </c>
      <c r="K551" s="72">
        <v>80</v>
      </c>
      <c r="L551" s="72">
        <f t="shared" si="26"/>
        <v>110788.992</v>
      </c>
      <c r="M551" s="19"/>
      <c r="N551" s="19">
        <v>221577.98</v>
      </c>
      <c r="O551" s="19">
        <f t="shared" si="25"/>
        <v>110788.992</v>
      </c>
      <c r="P551" s="6" t="s">
        <v>2619</v>
      </c>
      <c r="Q551" s="8" t="s">
        <v>2412</v>
      </c>
      <c r="R551" s="61"/>
    </row>
    <row r="552" spans="1:18" s="44" customFormat="1" ht="33.75" customHeight="1" outlineLevel="2" x14ac:dyDescent="0.25">
      <c r="A552" s="6" t="s">
        <v>12</v>
      </c>
      <c r="B552" s="8" t="s">
        <v>466</v>
      </c>
      <c r="C552" s="8" t="s">
        <v>39</v>
      </c>
      <c r="D552" s="8" t="s">
        <v>469</v>
      </c>
      <c r="E552" s="8" t="s">
        <v>1949</v>
      </c>
      <c r="F552" s="8" t="s">
        <v>149</v>
      </c>
      <c r="G552" s="8" t="s">
        <v>470</v>
      </c>
      <c r="H552" s="6" t="s">
        <v>19</v>
      </c>
      <c r="I552" s="19">
        <v>192352.43</v>
      </c>
      <c r="J552" s="19">
        <v>153881.94</v>
      </c>
      <c r="K552" s="72">
        <v>80</v>
      </c>
      <c r="L552" s="72">
        <f t="shared" si="26"/>
        <v>76940.971999999994</v>
      </c>
      <c r="M552" s="19"/>
      <c r="N552" s="19">
        <v>153881.94</v>
      </c>
      <c r="O552" s="19">
        <f t="shared" si="25"/>
        <v>76940.971999999994</v>
      </c>
      <c r="P552" s="6" t="s">
        <v>2609</v>
      </c>
      <c r="Q552" s="8" t="s">
        <v>2820</v>
      </c>
      <c r="R552" s="61"/>
    </row>
    <row r="553" spans="1:18" s="44" customFormat="1" ht="33.75" customHeight="1" outlineLevel="2" x14ac:dyDescent="0.25">
      <c r="A553" s="6" t="s">
        <v>12</v>
      </c>
      <c r="B553" s="8" t="s">
        <v>477</v>
      </c>
      <c r="C553" s="8" t="s">
        <v>39</v>
      </c>
      <c r="D553" s="8" t="s">
        <v>480</v>
      </c>
      <c r="E553" s="8" t="s">
        <v>1949</v>
      </c>
      <c r="F553" s="8" t="s">
        <v>149</v>
      </c>
      <c r="G553" s="8" t="s">
        <v>478</v>
      </c>
      <c r="H553" s="6" t="s">
        <v>19</v>
      </c>
      <c r="I553" s="19">
        <v>507212.93</v>
      </c>
      <c r="J553" s="19">
        <v>405770.34</v>
      </c>
      <c r="K553" s="72">
        <v>80</v>
      </c>
      <c r="L553" s="72">
        <f t="shared" si="26"/>
        <v>202885.17200000002</v>
      </c>
      <c r="M553" s="19"/>
      <c r="N553" s="19">
        <v>405770.34</v>
      </c>
      <c r="O553" s="19">
        <f t="shared" si="25"/>
        <v>202885.17200000002</v>
      </c>
      <c r="P553" s="6">
        <v>45689</v>
      </c>
      <c r="Q553" s="8" t="s">
        <v>2633</v>
      </c>
      <c r="R553" s="61"/>
    </row>
    <row r="554" spans="1:18" s="44" customFormat="1" ht="33.75" customHeight="1" outlineLevel="2" x14ac:dyDescent="0.25">
      <c r="A554" s="6" t="s">
        <v>12</v>
      </c>
      <c r="B554" s="8" t="s">
        <v>2634</v>
      </c>
      <c r="C554" s="8" t="s">
        <v>39</v>
      </c>
      <c r="D554" s="8" t="s">
        <v>487</v>
      </c>
      <c r="E554" s="8" t="s">
        <v>1949</v>
      </c>
      <c r="F554" s="8" t="s">
        <v>149</v>
      </c>
      <c r="G554" s="8" t="s">
        <v>2635</v>
      </c>
      <c r="H554" s="6" t="s">
        <v>19</v>
      </c>
      <c r="I554" s="19">
        <v>647889.31999999995</v>
      </c>
      <c r="J554" s="19">
        <v>2674516.56</v>
      </c>
      <c r="K554" s="72">
        <v>80</v>
      </c>
      <c r="L554" s="72">
        <f>J554*0.8</f>
        <v>2139613.2480000001</v>
      </c>
      <c r="M554" s="19"/>
      <c r="N554" s="19">
        <f>J554-L554</f>
        <v>534903.31199999992</v>
      </c>
      <c r="O554" s="19">
        <f t="shared" si="25"/>
        <v>2139613.2480000001</v>
      </c>
      <c r="P554" s="6">
        <v>45597</v>
      </c>
      <c r="Q554" s="8" t="s">
        <v>2495</v>
      </c>
      <c r="R554" s="61"/>
    </row>
    <row r="555" spans="1:18" s="44" customFormat="1" ht="33.75" customHeight="1" outlineLevel="2" x14ac:dyDescent="0.25">
      <c r="A555" s="6" t="s">
        <v>12</v>
      </c>
      <c r="B555" s="8" t="s">
        <v>504</v>
      </c>
      <c r="C555" s="8" t="s">
        <v>39</v>
      </c>
      <c r="D555" s="8" t="s">
        <v>506</v>
      </c>
      <c r="E555" s="8" t="s">
        <v>1949</v>
      </c>
      <c r="F555" s="8" t="s">
        <v>149</v>
      </c>
      <c r="G555" s="8" t="s">
        <v>505</v>
      </c>
      <c r="H555" s="6" t="s">
        <v>19</v>
      </c>
      <c r="I555" s="19">
        <v>7777419.6699999999</v>
      </c>
      <c r="J555" s="19">
        <v>6221935.7400000002</v>
      </c>
      <c r="K555" s="72">
        <v>80</v>
      </c>
      <c r="L555" s="72">
        <f t="shared" si="26"/>
        <v>3110967.8680000002</v>
      </c>
      <c r="M555" s="19"/>
      <c r="N555" s="19">
        <v>6221935.7400000002</v>
      </c>
      <c r="O555" s="19">
        <f t="shared" si="25"/>
        <v>3110967.8680000002</v>
      </c>
      <c r="P555" s="6" t="s">
        <v>2636</v>
      </c>
      <c r="Q555" s="8" t="s">
        <v>2839</v>
      </c>
      <c r="R555" s="61"/>
    </row>
    <row r="556" spans="1:18" s="44" customFormat="1" ht="33.75" customHeight="1" outlineLevel="2" x14ac:dyDescent="0.25">
      <c r="A556" s="6" t="s">
        <v>12</v>
      </c>
      <c r="B556" s="8" t="s">
        <v>512</v>
      </c>
      <c r="C556" s="8" t="s">
        <v>39</v>
      </c>
      <c r="D556" s="8" t="s">
        <v>515</v>
      </c>
      <c r="E556" s="8" t="s">
        <v>1949</v>
      </c>
      <c r="F556" s="8" t="s">
        <v>516</v>
      </c>
      <c r="G556" s="8" t="s">
        <v>513</v>
      </c>
      <c r="H556" s="6" t="s">
        <v>19</v>
      </c>
      <c r="I556" s="19">
        <v>500000</v>
      </c>
      <c r="J556" s="19">
        <v>400000</v>
      </c>
      <c r="K556" s="72">
        <v>80</v>
      </c>
      <c r="L556" s="72">
        <f t="shared" si="26"/>
        <v>200000</v>
      </c>
      <c r="M556" s="19"/>
      <c r="N556" s="19">
        <v>400000</v>
      </c>
      <c r="O556" s="19">
        <f t="shared" si="25"/>
        <v>200000</v>
      </c>
      <c r="P556" s="6" t="s">
        <v>2489</v>
      </c>
      <c r="Q556" s="8" t="s">
        <v>2820</v>
      </c>
      <c r="R556" s="61"/>
    </row>
    <row r="557" spans="1:18" s="44" customFormat="1" ht="33.75" customHeight="1" outlineLevel="2" x14ac:dyDescent="0.25">
      <c r="A557" s="6" t="s">
        <v>12</v>
      </c>
      <c r="B557" s="8" t="s">
        <v>520</v>
      </c>
      <c r="C557" s="8" t="s">
        <v>39</v>
      </c>
      <c r="D557" s="8" t="s">
        <v>526</v>
      </c>
      <c r="E557" s="8" t="s">
        <v>1949</v>
      </c>
      <c r="F557" s="8" t="s">
        <v>149</v>
      </c>
      <c r="G557" s="8" t="s">
        <v>521</v>
      </c>
      <c r="H557" s="6" t="s">
        <v>19</v>
      </c>
      <c r="I557" s="19">
        <v>444510.71999999997</v>
      </c>
      <c r="J557" s="19">
        <v>355608.58</v>
      </c>
      <c r="K557" s="72">
        <v>80</v>
      </c>
      <c r="L557" s="72">
        <f t="shared" si="26"/>
        <v>177804.288</v>
      </c>
      <c r="M557" s="19"/>
      <c r="N557" s="19">
        <v>355608.58</v>
      </c>
      <c r="O557" s="19">
        <f t="shared" si="25"/>
        <v>177804.288</v>
      </c>
      <c r="P557" s="6" t="s">
        <v>2619</v>
      </c>
      <c r="Q557" s="8" t="s">
        <v>2412</v>
      </c>
      <c r="R557" s="61"/>
    </row>
    <row r="558" spans="1:18" s="44" customFormat="1" ht="33.75" customHeight="1" outlineLevel="2" x14ac:dyDescent="0.25">
      <c r="A558" s="6" t="s">
        <v>12</v>
      </c>
      <c r="B558" s="8" t="s">
        <v>552</v>
      </c>
      <c r="C558" s="8" t="s">
        <v>39</v>
      </c>
      <c r="D558" s="8" t="s">
        <v>555</v>
      </c>
      <c r="E558" s="8" t="s">
        <v>1949</v>
      </c>
      <c r="F558" s="8" t="s">
        <v>28</v>
      </c>
      <c r="G558" s="8" t="s">
        <v>556</v>
      </c>
      <c r="H558" s="6" t="s">
        <v>19</v>
      </c>
      <c r="I558" s="19">
        <v>352773.36</v>
      </c>
      <c r="J558" s="19">
        <v>282218.69</v>
      </c>
      <c r="K558" s="72">
        <v>80</v>
      </c>
      <c r="L558" s="72">
        <f t="shared" si="26"/>
        <v>141109.34400000001</v>
      </c>
      <c r="M558" s="19"/>
      <c r="N558" s="19">
        <v>282218.69</v>
      </c>
      <c r="O558" s="19">
        <f t="shared" si="25"/>
        <v>141109.34400000001</v>
      </c>
      <c r="P558" s="6" t="s">
        <v>2619</v>
      </c>
      <c r="Q558" s="8" t="s">
        <v>2412</v>
      </c>
      <c r="R558" s="61"/>
    </row>
    <row r="559" spans="1:18" s="44" customFormat="1" ht="33.75" customHeight="1" outlineLevel="2" x14ac:dyDescent="0.25">
      <c r="A559" s="6" t="s">
        <v>12</v>
      </c>
      <c r="B559" s="8" t="s">
        <v>628</v>
      </c>
      <c r="C559" s="8" t="s">
        <v>39</v>
      </c>
      <c r="D559" s="8" t="s">
        <v>629</v>
      </c>
      <c r="E559" s="8" t="s">
        <v>1949</v>
      </c>
      <c r="F559" s="8" t="s">
        <v>149</v>
      </c>
      <c r="G559" s="8" t="s">
        <v>468</v>
      </c>
      <c r="H559" s="6" t="s">
        <v>19</v>
      </c>
      <c r="I559" s="19">
        <v>2257321.7999999998</v>
      </c>
      <c r="J559" s="19">
        <v>1805857.44</v>
      </c>
      <c r="K559" s="72">
        <v>80</v>
      </c>
      <c r="L559" s="72">
        <f t="shared" si="26"/>
        <v>902928.72</v>
      </c>
      <c r="M559" s="19"/>
      <c r="N559" s="19">
        <v>1805857.44</v>
      </c>
      <c r="O559" s="19">
        <f t="shared" si="25"/>
        <v>902928.72</v>
      </c>
      <c r="P559" s="6" t="s">
        <v>2840</v>
      </c>
      <c r="Q559" s="8" t="s">
        <v>2841</v>
      </c>
      <c r="R559" s="61"/>
    </row>
    <row r="560" spans="1:18" s="44" customFormat="1" ht="33.75" customHeight="1" outlineLevel="2" x14ac:dyDescent="0.25">
      <c r="A560" s="6" t="s">
        <v>12</v>
      </c>
      <c r="B560" s="8" t="s">
        <v>628</v>
      </c>
      <c r="C560" s="8" t="s">
        <v>39</v>
      </c>
      <c r="D560" s="8" t="s">
        <v>639</v>
      </c>
      <c r="E560" s="8" t="s">
        <v>1949</v>
      </c>
      <c r="F560" s="8" t="s">
        <v>149</v>
      </c>
      <c r="G560" s="8" t="s">
        <v>630</v>
      </c>
      <c r="H560" s="6" t="s">
        <v>19</v>
      </c>
      <c r="I560" s="19">
        <v>215369.28</v>
      </c>
      <c r="J560" s="19">
        <v>172295.42</v>
      </c>
      <c r="K560" s="72">
        <v>80</v>
      </c>
      <c r="L560" s="72">
        <f t="shared" si="26"/>
        <v>86147.712</v>
      </c>
      <c r="M560" s="19"/>
      <c r="N560" s="19">
        <v>172295.42</v>
      </c>
      <c r="O560" s="19">
        <f t="shared" si="25"/>
        <v>86147.712</v>
      </c>
      <c r="P560" s="6" t="s">
        <v>2619</v>
      </c>
      <c r="Q560" s="8" t="s">
        <v>2412</v>
      </c>
      <c r="R560" s="61"/>
    </row>
    <row r="561" spans="1:18" s="44" customFormat="1" ht="33.75" customHeight="1" outlineLevel="2" x14ac:dyDescent="0.25">
      <c r="A561" s="6" t="s">
        <v>12</v>
      </c>
      <c r="B561" s="8" t="s">
        <v>643</v>
      </c>
      <c r="C561" s="8" t="s">
        <v>39</v>
      </c>
      <c r="D561" s="8" t="s">
        <v>644</v>
      </c>
      <c r="E561" s="8" t="s">
        <v>1949</v>
      </c>
      <c r="F561" s="8" t="s">
        <v>149</v>
      </c>
      <c r="G561" s="8" t="s">
        <v>645</v>
      </c>
      <c r="H561" s="6" t="s">
        <v>19</v>
      </c>
      <c r="I561" s="19">
        <v>3318001.34</v>
      </c>
      <c r="J561" s="19">
        <v>2654401.0699999998</v>
      </c>
      <c r="K561" s="72">
        <v>80</v>
      </c>
      <c r="L561" s="72">
        <f t="shared" si="26"/>
        <v>1327200.5360000001</v>
      </c>
      <c r="M561" s="19"/>
      <c r="N561" s="19">
        <v>2654401.0699999998</v>
      </c>
      <c r="O561" s="19">
        <f t="shared" si="25"/>
        <v>1327200.5360000001</v>
      </c>
      <c r="P561" s="6" t="s">
        <v>2619</v>
      </c>
      <c r="Q561" s="8" t="s">
        <v>2412</v>
      </c>
      <c r="R561" s="61"/>
    </row>
    <row r="562" spans="1:18" s="44" customFormat="1" ht="33.75" customHeight="1" outlineLevel="2" x14ac:dyDescent="0.25">
      <c r="A562" s="6" t="s">
        <v>12</v>
      </c>
      <c r="B562" s="8" t="s">
        <v>803</v>
      </c>
      <c r="C562" s="8" t="s">
        <v>39</v>
      </c>
      <c r="D562" s="8" t="s">
        <v>807</v>
      </c>
      <c r="E562" s="8" t="s">
        <v>1949</v>
      </c>
      <c r="F562" s="8" t="s">
        <v>808</v>
      </c>
      <c r="G562" s="8" t="s">
        <v>804</v>
      </c>
      <c r="H562" s="6" t="s">
        <v>19</v>
      </c>
      <c r="I562" s="19">
        <v>7729032.96</v>
      </c>
      <c r="J562" s="19">
        <v>6183226.3700000001</v>
      </c>
      <c r="K562" s="72">
        <v>80</v>
      </c>
      <c r="L562" s="72">
        <f t="shared" si="26"/>
        <v>3091613.1840000004</v>
      </c>
      <c r="M562" s="19"/>
      <c r="N562" s="19">
        <v>6183226.3700000001</v>
      </c>
      <c r="O562" s="19">
        <f t="shared" si="25"/>
        <v>3091613.1840000004</v>
      </c>
      <c r="P562" s="6" t="s">
        <v>2637</v>
      </c>
      <c r="Q562" s="8" t="s">
        <v>2403</v>
      </c>
      <c r="R562" s="61"/>
    </row>
    <row r="563" spans="1:18" s="44" customFormat="1" ht="33.75" customHeight="1" outlineLevel="2" x14ac:dyDescent="0.25">
      <c r="A563" s="6" t="s">
        <v>12</v>
      </c>
      <c r="B563" s="8" t="s">
        <v>844</v>
      </c>
      <c r="C563" s="8" t="s">
        <v>39</v>
      </c>
      <c r="D563" s="8" t="s">
        <v>854</v>
      </c>
      <c r="E563" s="8" t="s">
        <v>1949</v>
      </c>
      <c r="F563" s="8" t="s">
        <v>149</v>
      </c>
      <c r="G563" s="8" t="s">
        <v>849</v>
      </c>
      <c r="H563" s="6" t="s">
        <v>19</v>
      </c>
      <c r="I563" s="19">
        <v>21902371.199999999</v>
      </c>
      <c r="J563" s="19">
        <v>17521896.960000001</v>
      </c>
      <c r="K563" s="72">
        <v>80</v>
      </c>
      <c r="L563" s="72">
        <f t="shared" si="26"/>
        <v>8760948.4800000004</v>
      </c>
      <c r="M563" s="19"/>
      <c r="N563" s="19">
        <v>17521896.960000001</v>
      </c>
      <c r="O563" s="19">
        <f t="shared" si="25"/>
        <v>8760948.4800000004</v>
      </c>
      <c r="P563" s="6" t="s">
        <v>2638</v>
      </c>
      <c r="Q563" s="8" t="s">
        <v>2639</v>
      </c>
      <c r="R563" s="61"/>
    </row>
    <row r="564" spans="1:18" s="44" customFormat="1" ht="33.75" customHeight="1" outlineLevel="2" x14ac:dyDescent="0.25">
      <c r="A564" s="6" t="s">
        <v>12</v>
      </c>
      <c r="B564" s="8" t="s">
        <v>878</v>
      </c>
      <c r="C564" s="8" t="s">
        <v>39</v>
      </c>
      <c r="D564" s="8" t="s">
        <v>880</v>
      </c>
      <c r="E564" s="8" t="s">
        <v>1949</v>
      </c>
      <c r="F564" s="8" t="s">
        <v>881</v>
      </c>
      <c r="G564" s="8" t="s">
        <v>879</v>
      </c>
      <c r="H564" s="6" t="s">
        <v>19</v>
      </c>
      <c r="I564" s="19">
        <v>925408</v>
      </c>
      <c r="J564" s="19">
        <v>740326.40000000002</v>
      </c>
      <c r="K564" s="72">
        <v>80</v>
      </c>
      <c r="L564" s="72">
        <f t="shared" si="26"/>
        <v>370163.20000000001</v>
      </c>
      <c r="M564" s="19"/>
      <c r="N564" s="19">
        <v>740326.40000000002</v>
      </c>
      <c r="O564" s="19">
        <f t="shared" si="25"/>
        <v>370163.20000000001</v>
      </c>
      <c r="P564" s="6"/>
      <c r="Q564" s="8" t="s">
        <v>2826</v>
      </c>
      <c r="R564" s="61"/>
    </row>
    <row r="565" spans="1:18" s="44" customFormat="1" ht="33.75" customHeight="1" outlineLevel="2" x14ac:dyDescent="0.25">
      <c r="A565" s="6" t="s">
        <v>12</v>
      </c>
      <c r="B565" s="8" t="s">
        <v>895</v>
      </c>
      <c r="C565" s="8" t="s">
        <v>39</v>
      </c>
      <c r="D565" s="8" t="s">
        <v>898</v>
      </c>
      <c r="E565" s="8" t="s">
        <v>1949</v>
      </c>
      <c r="F565" s="8" t="s">
        <v>149</v>
      </c>
      <c r="G565" s="8" t="s">
        <v>896</v>
      </c>
      <c r="H565" s="6" t="s">
        <v>19</v>
      </c>
      <c r="I565" s="19">
        <v>7137170.5</v>
      </c>
      <c r="J565" s="19">
        <v>5709736.4000000004</v>
      </c>
      <c r="K565" s="72">
        <v>80</v>
      </c>
      <c r="L565" s="72">
        <f t="shared" si="26"/>
        <v>2854868.2</v>
      </c>
      <c r="M565" s="19"/>
      <c r="N565" s="19">
        <v>5709736.4000000004</v>
      </c>
      <c r="O565" s="19">
        <f t="shared" si="25"/>
        <v>2854868.2</v>
      </c>
      <c r="P565" s="6" t="s">
        <v>2636</v>
      </c>
      <c r="Q565" s="8" t="s">
        <v>2412</v>
      </c>
      <c r="R565" s="61"/>
    </row>
    <row r="566" spans="1:18" s="44" customFormat="1" ht="33.75" customHeight="1" outlineLevel="2" x14ac:dyDescent="0.25">
      <c r="A566" s="6" t="s">
        <v>12</v>
      </c>
      <c r="B566" s="8" t="s">
        <v>970</v>
      </c>
      <c r="C566" s="8" t="s">
        <v>39</v>
      </c>
      <c r="D566" s="8" t="s">
        <v>973</v>
      </c>
      <c r="E566" s="8" t="s">
        <v>1949</v>
      </c>
      <c r="F566" s="8" t="s">
        <v>149</v>
      </c>
      <c r="G566" s="8" t="s">
        <v>971</v>
      </c>
      <c r="H566" s="6" t="s">
        <v>19</v>
      </c>
      <c r="I566" s="19">
        <v>2008800</v>
      </c>
      <c r="J566" s="19">
        <v>1607040</v>
      </c>
      <c r="K566" s="72">
        <v>80</v>
      </c>
      <c r="L566" s="72">
        <f t="shared" si="26"/>
        <v>803520</v>
      </c>
      <c r="M566" s="19"/>
      <c r="N566" s="19">
        <v>1607040</v>
      </c>
      <c r="O566" s="19">
        <f t="shared" si="25"/>
        <v>803520</v>
      </c>
      <c r="P566" s="6" t="s">
        <v>2636</v>
      </c>
      <c r="Q566" s="8" t="s">
        <v>2412</v>
      </c>
      <c r="R566" s="61"/>
    </row>
    <row r="567" spans="1:18" s="44" customFormat="1" ht="33.75" customHeight="1" outlineLevel="2" x14ac:dyDescent="0.25">
      <c r="A567" s="6" t="s">
        <v>12</v>
      </c>
      <c r="B567" s="8" t="s">
        <v>1016</v>
      </c>
      <c r="C567" s="8" t="s">
        <v>39</v>
      </c>
      <c r="D567" s="8" t="s">
        <v>1019</v>
      </c>
      <c r="E567" s="8" t="s">
        <v>1949</v>
      </c>
      <c r="F567" s="8" t="s">
        <v>1020</v>
      </c>
      <c r="G567" s="8" t="s">
        <v>251</v>
      </c>
      <c r="H567" s="6" t="s">
        <v>19</v>
      </c>
      <c r="I567" s="19">
        <v>21091052.300000001</v>
      </c>
      <c r="J567" s="19">
        <v>21270342.400000002</v>
      </c>
      <c r="K567" s="72">
        <v>80</v>
      </c>
      <c r="L567" s="72">
        <v>21270342.400000002</v>
      </c>
      <c r="M567" s="19"/>
      <c r="N567" s="19">
        <v>21270342.400000002</v>
      </c>
      <c r="O567" s="19">
        <f t="shared" si="25"/>
        <v>21270342.400000002</v>
      </c>
      <c r="P567" s="6" t="s">
        <v>2640</v>
      </c>
      <c r="Q567" s="8" t="s">
        <v>2842</v>
      </c>
      <c r="R567" s="61"/>
    </row>
    <row r="568" spans="1:18" s="44" customFormat="1" ht="33.75" customHeight="1" outlineLevel="2" x14ac:dyDescent="0.25">
      <c r="A568" s="6" t="s">
        <v>12</v>
      </c>
      <c r="B568" s="8" t="s">
        <v>1041</v>
      </c>
      <c r="C568" s="8" t="s">
        <v>39</v>
      </c>
      <c r="D568" s="8" t="s">
        <v>1044</v>
      </c>
      <c r="E568" s="8" t="s">
        <v>1949</v>
      </c>
      <c r="F568" s="8" t="s">
        <v>149</v>
      </c>
      <c r="G568" s="8" t="s">
        <v>1045</v>
      </c>
      <c r="H568" s="6" t="s">
        <v>19</v>
      </c>
      <c r="I568" s="19">
        <v>3367008</v>
      </c>
      <c r="J568" s="19">
        <v>2693606.4</v>
      </c>
      <c r="K568" s="72">
        <v>80</v>
      </c>
      <c r="L568" s="72">
        <f t="shared" si="26"/>
        <v>1346803.2000000002</v>
      </c>
      <c r="M568" s="19"/>
      <c r="N568" s="19">
        <v>2693606.4</v>
      </c>
      <c r="O568" s="19">
        <f t="shared" si="25"/>
        <v>1346803.2000000002</v>
      </c>
      <c r="P568" s="6">
        <v>45627</v>
      </c>
      <c r="Q568" s="8" t="s">
        <v>2495</v>
      </c>
      <c r="R568" s="61"/>
    </row>
    <row r="569" spans="1:18" s="44" customFormat="1" ht="33.75" customHeight="1" outlineLevel="2" x14ac:dyDescent="0.25">
      <c r="A569" s="6" t="s">
        <v>12</v>
      </c>
      <c r="B569" s="8" t="s">
        <v>1056</v>
      </c>
      <c r="C569" s="8" t="s">
        <v>39</v>
      </c>
      <c r="D569" s="8" t="s">
        <v>1059</v>
      </c>
      <c r="E569" s="8" t="s">
        <v>2082</v>
      </c>
      <c r="F569" s="8" t="s">
        <v>28</v>
      </c>
      <c r="G569" s="8" t="s">
        <v>1060</v>
      </c>
      <c r="H569" s="6" t="s">
        <v>19</v>
      </c>
      <c r="I569" s="19">
        <v>316800.71999999997</v>
      </c>
      <c r="J569" s="19">
        <v>253440.58</v>
      </c>
      <c r="K569" s="72">
        <v>80</v>
      </c>
      <c r="L569" s="72">
        <f t="shared" si="26"/>
        <v>126720.288</v>
      </c>
      <c r="M569" s="19"/>
      <c r="N569" s="19">
        <v>253440.58</v>
      </c>
      <c r="O569" s="19">
        <f t="shared" si="25"/>
        <v>126720.288</v>
      </c>
      <c r="P569" s="6">
        <v>45553</v>
      </c>
      <c r="Q569" s="8" t="s">
        <v>2843</v>
      </c>
      <c r="R569" s="61"/>
    </row>
    <row r="570" spans="1:18" s="44" customFormat="1" ht="33.75" customHeight="1" outlineLevel="2" x14ac:dyDescent="0.25">
      <c r="A570" s="6" t="s">
        <v>12</v>
      </c>
      <c r="B570" s="8" t="s">
        <v>1088</v>
      </c>
      <c r="C570" s="8" t="s">
        <v>39</v>
      </c>
      <c r="D570" s="8" t="s">
        <v>1089</v>
      </c>
      <c r="E570" s="8" t="s">
        <v>1949</v>
      </c>
      <c r="F570" s="8" t="s">
        <v>149</v>
      </c>
      <c r="G570" s="8" t="s">
        <v>773</v>
      </c>
      <c r="H570" s="6" t="s">
        <v>19</v>
      </c>
      <c r="I570" s="19">
        <v>4110957.72</v>
      </c>
      <c r="J570" s="19">
        <v>3288766.18</v>
      </c>
      <c r="K570" s="72">
        <v>80</v>
      </c>
      <c r="L570" s="72">
        <f t="shared" si="26"/>
        <v>1644383.0880000002</v>
      </c>
      <c r="M570" s="19"/>
      <c r="N570" s="19">
        <v>3288766.18</v>
      </c>
      <c r="O570" s="19">
        <f t="shared" si="25"/>
        <v>1644383.0880000002</v>
      </c>
      <c r="P570" s="6"/>
      <c r="Q570" s="8" t="s">
        <v>2826</v>
      </c>
      <c r="R570" s="61"/>
    </row>
    <row r="571" spans="1:18" s="44" customFormat="1" ht="33.75" customHeight="1" outlineLevel="2" x14ac:dyDescent="0.25">
      <c r="A571" s="6" t="s">
        <v>12</v>
      </c>
      <c r="B571" s="8" t="s">
        <v>1118</v>
      </c>
      <c r="C571" s="8" t="s">
        <v>39</v>
      </c>
      <c r="D571" s="8" t="s">
        <v>1121</v>
      </c>
      <c r="E571" s="8" t="s">
        <v>1949</v>
      </c>
      <c r="F571" s="8" t="s">
        <v>27</v>
      </c>
      <c r="G571" s="8" t="s">
        <v>1119</v>
      </c>
      <c r="H571" s="6" t="s">
        <v>19</v>
      </c>
      <c r="I571" s="19">
        <v>349660.8</v>
      </c>
      <c r="J571" s="19">
        <v>279728.64000000001</v>
      </c>
      <c r="K571" s="72">
        <v>80</v>
      </c>
      <c r="L571" s="72">
        <f t="shared" si="26"/>
        <v>139864.32000000001</v>
      </c>
      <c r="M571" s="19"/>
      <c r="N571" s="19">
        <v>279728.64000000001</v>
      </c>
      <c r="O571" s="19">
        <f t="shared" si="25"/>
        <v>139864.32000000001</v>
      </c>
      <c r="P571" s="6" t="s">
        <v>2489</v>
      </c>
      <c r="Q571" s="8" t="s">
        <v>2820</v>
      </c>
      <c r="R571" s="61"/>
    </row>
    <row r="572" spans="1:18" s="44" customFormat="1" ht="33.75" customHeight="1" outlineLevel="2" x14ac:dyDescent="0.25">
      <c r="A572" s="6" t="s">
        <v>12</v>
      </c>
      <c r="B572" s="8" t="s">
        <v>1124</v>
      </c>
      <c r="C572" s="8" t="s">
        <v>39</v>
      </c>
      <c r="D572" s="8" t="s">
        <v>1125</v>
      </c>
      <c r="E572" s="8" t="s">
        <v>1949</v>
      </c>
      <c r="F572" s="8" t="s">
        <v>27</v>
      </c>
      <c r="G572" s="8" t="s">
        <v>173</v>
      </c>
      <c r="H572" s="6" t="s">
        <v>19</v>
      </c>
      <c r="I572" s="19">
        <v>153552.24</v>
      </c>
      <c r="J572" s="19">
        <v>122841.79</v>
      </c>
      <c r="K572" s="72">
        <v>80</v>
      </c>
      <c r="L572" s="72">
        <f t="shared" si="26"/>
        <v>61420.896000000001</v>
      </c>
      <c r="M572" s="19"/>
      <c r="N572" s="19">
        <v>122841.79</v>
      </c>
      <c r="O572" s="19">
        <f t="shared" si="25"/>
        <v>61420.896000000001</v>
      </c>
      <c r="P572" s="6" t="s">
        <v>2636</v>
      </c>
      <c r="Q572" s="8" t="s">
        <v>2412</v>
      </c>
      <c r="R572" s="61"/>
    </row>
    <row r="573" spans="1:18" s="44" customFormat="1" ht="33.75" customHeight="1" outlineLevel="2" x14ac:dyDescent="0.25">
      <c r="A573" s="6" t="s">
        <v>12</v>
      </c>
      <c r="B573" s="8" t="s">
        <v>1124</v>
      </c>
      <c r="C573" s="8" t="s">
        <v>39</v>
      </c>
      <c r="D573" s="8" t="s">
        <v>1128</v>
      </c>
      <c r="E573" s="8" t="s">
        <v>1949</v>
      </c>
      <c r="F573" s="8" t="s">
        <v>149</v>
      </c>
      <c r="G573" s="8" t="s">
        <v>173</v>
      </c>
      <c r="H573" s="6" t="s">
        <v>19</v>
      </c>
      <c r="I573" s="19">
        <v>438377.4</v>
      </c>
      <c r="J573" s="19">
        <v>350701.92</v>
      </c>
      <c r="K573" s="72">
        <v>80</v>
      </c>
      <c r="L573" s="72">
        <f t="shared" si="26"/>
        <v>175350.96000000002</v>
      </c>
      <c r="M573" s="19"/>
      <c r="N573" s="19">
        <v>350701.92</v>
      </c>
      <c r="O573" s="19">
        <f t="shared" si="25"/>
        <v>175350.96000000002</v>
      </c>
      <c r="P573" s="6" t="s">
        <v>2636</v>
      </c>
      <c r="Q573" s="8" t="s">
        <v>2412</v>
      </c>
      <c r="R573" s="61"/>
    </row>
    <row r="574" spans="1:18" s="44" customFormat="1" ht="33.75" customHeight="1" outlineLevel="2" x14ac:dyDescent="0.25">
      <c r="A574" s="6" t="s">
        <v>12</v>
      </c>
      <c r="B574" s="8" t="s">
        <v>1162</v>
      </c>
      <c r="C574" s="8" t="s">
        <v>39</v>
      </c>
      <c r="D574" s="8" t="s">
        <v>1164</v>
      </c>
      <c r="E574" s="8" t="s">
        <v>1949</v>
      </c>
      <c r="F574" s="8" t="s">
        <v>149</v>
      </c>
      <c r="G574" s="8" t="s">
        <v>258</v>
      </c>
      <c r="H574" s="6" t="s">
        <v>19</v>
      </c>
      <c r="I574" s="19">
        <v>112523.04</v>
      </c>
      <c r="J574" s="19">
        <v>90018.43</v>
      </c>
      <c r="K574" s="72">
        <v>80</v>
      </c>
      <c r="L574" s="72">
        <f t="shared" si="26"/>
        <v>45009.216</v>
      </c>
      <c r="M574" s="19"/>
      <c r="N574" s="19">
        <v>90018.43</v>
      </c>
      <c r="O574" s="19">
        <f t="shared" si="25"/>
        <v>45009.216</v>
      </c>
      <c r="P574" s="82">
        <v>45536</v>
      </c>
      <c r="Q574" s="8" t="s">
        <v>2414</v>
      </c>
      <c r="R574" s="61"/>
    </row>
    <row r="575" spans="1:18" s="44" customFormat="1" ht="33.75" customHeight="1" outlineLevel="2" x14ac:dyDescent="0.25">
      <c r="A575" s="6" t="s">
        <v>12</v>
      </c>
      <c r="B575" s="8" t="s">
        <v>1294</v>
      </c>
      <c r="C575" s="8" t="s">
        <v>39</v>
      </c>
      <c r="D575" s="8" t="s">
        <v>1296</v>
      </c>
      <c r="E575" s="8" t="s">
        <v>1949</v>
      </c>
      <c r="F575" s="8" t="s">
        <v>1020</v>
      </c>
      <c r="G575" s="8" t="s">
        <v>445</v>
      </c>
      <c r="H575" s="6" t="s">
        <v>19</v>
      </c>
      <c r="I575" s="19">
        <v>18296525.539999999</v>
      </c>
      <c r="J575" s="19">
        <v>25516992</v>
      </c>
      <c r="K575" s="72">
        <v>80</v>
      </c>
      <c r="L575" s="72">
        <v>25516992</v>
      </c>
      <c r="M575" s="19"/>
      <c r="N575" s="19">
        <v>25516992</v>
      </c>
      <c r="O575" s="19">
        <f t="shared" si="25"/>
        <v>25516992</v>
      </c>
      <c r="P575" s="82">
        <v>45536</v>
      </c>
      <c r="Q575" s="8" t="s">
        <v>2844</v>
      </c>
      <c r="R575" s="61"/>
    </row>
    <row r="576" spans="1:18" s="44" customFormat="1" ht="33.75" customHeight="1" outlineLevel="2" x14ac:dyDescent="0.25">
      <c r="A576" s="6" t="s">
        <v>12</v>
      </c>
      <c r="B576" s="8" t="s">
        <v>1315</v>
      </c>
      <c r="C576" s="8" t="s">
        <v>39</v>
      </c>
      <c r="D576" s="8" t="s">
        <v>1390</v>
      </c>
      <c r="E576" s="8" t="s">
        <v>1949</v>
      </c>
      <c r="F576" s="8" t="s">
        <v>149</v>
      </c>
      <c r="G576" s="8" t="s">
        <v>476</v>
      </c>
      <c r="H576" s="6" t="s">
        <v>19</v>
      </c>
      <c r="I576" s="19">
        <v>569673</v>
      </c>
      <c r="J576" s="19">
        <v>455738.4</v>
      </c>
      <c r="K576" s="72">
        <v>80</v>
      </c>
      <c r="L576" s="72">
        <f t="shared" si="26"/>
        <v>227869.2</v>
      </c>
      <c r="M576" s="19"/>
      <c r="N576" s="19">
        <v>455738.4</v>
      </c>
      <c r="O576" s="19">
        <f t="shared" si="25"/>
        <v>227869.2</v>
      </c>
      <c r="P576" s="6" t="s">
        <v>2609</v>
      </c>
      <c r="Q576" s="8" t="s">
        <v>2820</v>
      </c>
      <c r="R576" s="61"/>
    </row>
    <row r="577" spans="1:18" s="44" customFormat="1" ht="33.75" customHeight="1" outlineLevel="2" x14ac:dyDescent="0.25">
      <c r="A577" s="6" t="s">
        <v>12</v>
      </c>
      <c r="B577" s="8" t="s">
        <v>1315</v>
      </c>
      <c r="C577" s="8" t="s">
        <v>39</v>
      </c>
      <c r="D577" s="8" t="s">
        <v>1391</v>
      </c>
      <c r="E577" s="8" t="s">
        <v>1949</v>
      </c>
      <c r="F577" s="8" t="s">
        <v>149</v>
      </c>
      <c r="G577" s="8" t="s">
        <v>1217</v>
      </c>
      <c r="H577" s="6" t="s">
        <v>19</v>
      </c>
      <c r="I577" s="19">
        <v>17232.39</v>
      </c>
      <c r="J577" s="19">
        <v>13785.91</v>
      </c>
      <c r="K577" s="72">
        <v>80</v>
      </c>
      <c r="L577" s="72">
        <f t="shared" si="26"/>
        <v>6892.9560000000001</v>
      </c>
      <c r="M577" s="19"/>
      <c r="N577" s="19">
        <v>13785.91</v>
      </c>
      <c r="O577" s="19">
        <f t="shared" si="25"/>
        <v>6892.9560000000001</v>
      </c>
      <c r="P577" s="6" t="s">
        <v>2489</v>
      </c>
      <c r="Q577" s="8" t="s">
        <v>2845</v>
      </c>
      <c r="R577" s="61"/>
    </row>
    <row r="578" spans="1:18" s="44" customFormat="1" ht="33.75" customHeight="1" outlineLevel="2" x14ac:dyDescent="0.25">
      <c r="A578" s="6" t="s">
        <v>12</v>
      </c>
      <c r="B578" s="8" t="s">
        <v>1315</v>
      </c>
      <c r="C578" s="8" t="s">
        <v>39</v>
      </c>
      <c r="D578" s="8" t="s">
        <v>1392</v>
      </c>
      <c r="E578" s="8" t="s">
        <v>1949</v>
      </c>
      <c r="F578" s="8" t="s">
        <v>149</v>
      </c>
      <c r="G578" s="8" t="s">
        <v>1345</v>
      </c>
      <c r="H578" s="6" t="s">
        <v>19</v>
      </c>
      <c r="I578" s="19">
        <v>4099687.6</v>
      </c>
      <c r="J578" s="19">
        <v>3279750.08</v>
      </c>
      <c r="K578" s="72">
        <v>80</v>
      </c>
      <c r="L578" s="72">
        <f t="shared" si="26"/>
        <v>1639875.04</v>
      </c>
      <c r="M578" s="19"/>
      <c r="N578" s="19">
        <v>3279750.08</v>
      </c>
      <c r="O578" s="19">
        <f t="shared" si="25"/>
        <v>1639875.04</v>
      </c>
      <c r="P578" s="6" t="s">
        <v>2609</v>
      </c>
      <c r="Q578" s="8" t="s">
        <v>2820</v>
      </c>
      <c r="R578" s="61"/>
    </row>
    <row r="579" spans="1:18" s="44" customFormat="1" ht="33.75" customHeight="1" outlineLevel="2" x14ac:dyDescent="0.25">
      <c r="A579" s="6" t="s">
        <v>12</v>
      </c>
      <c r="B579" s="8" t="s">
        <v>1315</v>
      </c>
      <c r="C579" s="8" t="s">
        <v>39</v>
      </c>
      <c r="D579" s="8" t="s">
        <v>1393</v>
      </c>
      <c r="E579" s="8" t="s">
        <v>1949</v>
      </c>
      <c r="F579" s="8" t="s">
        <v>149</v>
      </c>
      <c r="G579" s="8" t="s">
        <v>1105</v>
      </c>
      <c r="H579" s="6" t="s">
        <v>19</v>
      </c>
      <c r="I579" s="19">
        <v>100576.77</v>
      </c>
      <c r="J579" s="19">
        <v>80461.42</v>
      </c>
      <c r="K579" s="72">
        <v>80</v>
      </c>
      <c r="L579" s="72">
        <f t="shared" si="26"/>
        <v>40230.708000000006</v>
      </c>
      <c r="M579" s="19"/>
      <c r="N579" s="19">
        <v>80461.42</v>
      </c>
      <c r="O579" s="19">
        <f t="shared" si="25"/>
        <v>40230.708000000006</v>
      </c>
      <c r="P579" s="6" t="s">
        <v>2489</v>
      </c>
      <c r="Q579" s="8" t="s">
        <v>2845</v>
      </c>
      <c r="R579" s="61"/>
    </row>
    <row r="580" spans="1:18" s="44" customFormat="1" ht="33.75" customHeight="1" outlineLevel="2" x14ac:dyDescent="0.25">
      <c r="A580" s="6" t="s">
        <v>12</v>
      </c>
      <c r="B580" s="8" t="s">
        <v>1315</v>
      </c>
      <c r="C580" s="8" t="s">
        <v>39</v>
      </c>
      <c r="D580" s="8" t="s">
        <v>1394</v>
      </c>
      <c r="E580" s="8" t="s">
        <v>1949</v>
      </c>
      <c r="F580" s="8" t="s">
        <v>149</v>
      </c>
      <c r="G580" s="8" t="s">
        <v>1108</v>
      </c>
      <c r="H580" s="6" t="s">
        <v>19</v>
      </c>
      <c r="I580" s="19">
        <v>330808.32000000001</v>
      </c>
      <c r="J580" s="19">
        <v>264646.65999999997</v>
      </c>
      <c r="K580" s="72">
        <v>80</v>
      </c>
      <c r="L580" s="72">
        <f t="shared" si="26"/>
        <v>132323.32800000001</v>
      </c>
      <c r="M580" s="19"/>
      <c r="N580" s="19">
        <v>264646.65999999997</v>
      </c>
      <c r="O580" s="19">
        <f t="shared" si="25"/>
        <v>132323.32800000001</v>
      </c>
      <c r="P580" s="6" t="s">
        <v>2489</v>
      </c>
      <c r="Q580" s="8" t="s">
        <v>2820</v>
      </c>
      <c r="R580" s="61"/>
    </row>
    <row r="581" spans="1:18" s="44" customFormat="1" ht="33.75" customHeight="1" outlineLevel="2" x14ac:dyDescent="0.25">
      <c r="A581" s="6" t="s">
        <v>12</v>
      </c>
      <c r="B581" s="8" t="s">
        <v>2831</v>
      </c>
      <c r="C581" s="8" t="s">
        <v>39</v>
      </c>
      <c r="D581" s="8" t="s">
        <v>2846</v>
      </c>
      <c r="E581" s="8" t="s">
        <v>2082</v>
      </c>
      <c r="F581" s="8"/>
      <c r="G581" s="8" t="s">
        <v>2834</v>
      </c>
      <c r="H581" s="6" t="s">
        <v>19</v>
      </c>
      <c r="I581" s="19">
        <v>131600</v>
      </c>
      <c r="J581" s="19">
        <v>131600</v>
      </c>
      <c r="K581" s="72"/>
      <c r="L581" s="72">
        <v>131600</v>
      </c>
      <c r="M581" s="19"/>
      <c r="N581" s="19">
        <v>264646.65999999997</v>
      </c>
      <c r="O581" s="19">
        <f t="shared" si="25"/>
        <v>131600</v>
      </c>
      <c r="P581" s="6" t="s">
        <v>2835</v>
      </c>
      <c r="Q581" s="8" t="s">
        <v>2836</v>
      </c>
      <c r="R581" s="61"/>
    </row>
    <row r="582" spans="1:18" s="44" customFormat="1" ht="33.75" customHeight="1" outlineLevel="2" x14ac:dyDescent="0.25">
      <c r="A582" s="6" t="s">
        <v>12</v>
      </c>
      <c r="B582" s="8" t="s">
        <v>1315</v>
      </c>
      <c r="C582" s="8" t="s">
        <v>39</v>
      </c>
      <c r="D582" s="8" t="s">
        <v>1395</v>
      </c>
      <c r="E582" s="8" t="s">
        <v>1949</v>
      </c>
      <c r="F582" s="8" t="s">
        <v>149</v>
      </c>
      <c r="G582" s="8" t="s">
        <v>706</v>
      </c>
      <c r="H582" s="6" t="s">
        <v>19</v>
      </c>
      <c r="I582" s="19">
        <v>22135680</v>
      </c>
      <c r="J582" s="19">
        <v>17708544</v>
      </c>
      <c r="K582" s="72">
        <v>80</v>
      </c>
      <c r="L582" s="72">
        <f t="shared" si="26"/>
        <v>8854272</v>
      </c>
      <c r="M582" s="19"/>
      <c r="N582" s="19">
        <v>17708544</v>
      </c>
      <c r="O582" s="19">
        <f t="shared" si="25"/>
        <v>8854272</v>
      </c>
      <c r="P582" s="6" t="s">
        <v>2609</v>
      </c>
      <c r="Q582" s="8" t="s">
        <v>2641</v>
      </c>
      <c r="R582" s="61"/>
    </row>
    <row r="583" spans="1:18" ht="33.75" customHeight="1" outlineLevel="2" x14ac:dyDescent="0.2">
      <c r="A583" s="6" t="s">
        <v>12</v>
      </c>
      <c r="B583" s="2" t="s">
        <v>1315</v>
      </c>
      <c r="C583" s="8" t="s">
        <v>39</v>
      </c>
      <c r="D583" s="2" t="s">
        <v>1396</v>
      </c>
      <c r="E583" s="8" t="s">
        <v>1949</v>
      </c>
      <c r="F583" s="2" t="s">
        <v>516</v>
      </c>
      <c r="G583" s="2" t="s">
        <v>1178</v>
      </c>
      <c r="H583" s="3" t="s">
        <v>19</v>
      </c>
      <c r="I583" s="19">
        <v>467186.39</v>
      </c>
      <c r="J583" s="19">
        <v>373749.11</v>
      </c>
      <c r="K583" s="72">
        <v>80</v>
      </c>
      <c r="L583" s="72">
        <f t="shared" si="26"/>
        <v>186874.55600000001</v>
      </c>
      <c r="M583" s="19"/>
      <c r="N583" s="19">
        <v>373749.11</v>
      </c>
      <c r="O583" s="19">
        <f t="shared" si="25"/>
        <v>186874.55600000001</v>
      </c>
      <c r="P583" s="6" t="s">
        <v>2502</v>
      </c>
      <c r="Q583" s="2" t="s">
        <v>2847</v>
      </c>
    </row>
    <row r="584" spans="1:18" s="44" customFormat="1" ht="33.75" customHeight="1" outlineLevel="2" x14ac:dyDescent="0.25">
      <c r="A584" s="6" t="s">
        <v>12</v>
      </c>
      <c r="B584" s="8" t="s">
        <v>1315</v>
      </c>
      <c r="C584" s="8" t="s">
        <v>39</v>
      </c>
      <c r="D584" s="8" t="s">
        <v>1397</v>
      </c>
      <c r="E584" s="8" t="s">
        <v>1949</v>
      </c>
      <c r="F584" s="8" t="s">
        <v>516</v>
      </c>
      <c r="G584" s="8" t="s">
        <v>774</v>
      </c>
      <c r="H584" s="6" t="s">
        <v>19</v>
      </c>
      <c r="I584" s="19">
        <v>92867571.140000001</v>
      </c>
      <c r="J584" s="19">
        <v>74294056.909999996</v>
      </c>
      <c r="K584" s="72">
        <v>80</v>
      </c>
      <c r="L584" s="72">
        <f t="shared" si="26"/>
        <v>37147028.456</v>
      </c>
      <c r="M584" s="19"/>
      <c r="N584" s="19">
        <v>74294056.909999996</v>
      </c>
      <c r="O584" s="19">
        <f t="shared" si="25"/>
        <v>37147028.456</v>
      </c>
      <c r="P584" s="6" t="s">
        <v>2609</v>
      </c>
      <c r="Q584" s="8" t="s">
        <v>2820</v>
      </c>
      <c r="R584" s="61"/>
    </row>
    <row r="585" spans="1:18" s="44" customFormat="1" ht="33.75" customHeight="1" outlineLevel="2" x14ac:dyDescent="0.25">
      <c r="A585" s="6" t="s">
        <v>12</v>
      </c>
      <c r="B585" s="8" t="s">
        <v>1315</v>
      </c>
      <c r="C585" s="8" t="s">
        <v>39</v>
      </c>
      <c r="D585" s="8" t="s">
        <v>1398</v>
      </c>
      <c r="E585" s="8" t="s">
        <v>1949</v>
      </c>
      <c r="F585" s="8" t="s">
        <v>149</v>
      </c>
      <c r="G585" s="8" t="s">
        <v>475</v>
      </c>
      <c r="H585" s="6" t="s">
        <v>19</v>
      </c>
      <c r="I585" s="19">
        <v>958521.6</v>
      </c>
      <c r="J585" s="19">
        <v>766817.28000000003</v>
      </c>
      <c r="K585" s="72">
        <v>80</v>
      </c>
      <c r="L585" s="72">
        <f t="shared" si="26"/>
        <v>383408.64000000001</v>
      </c>
      <c r="M585" s="19"/>
      <c r="N585" s="19">
        <v>766817.28000000003</v>
      </c>
      <c r="O585" s="19">
        <f t="shared" si="25"/>
        <v>383408.64000000001</v>
      </c>
      <c r="P585" s="6" t="s">
        <v>2489</v>
      </c>
      <c r="Q585" s="8" t="s">
        <v>2820</v>
      </c>
      <c r="R585" s="61"/>
    </row>
    <row r="586" spans="1:18" s="44" customFormat="1" ht="33.75" customHeight="1" outlineLevel="2" x14ac:dyDescent="0.25">
      <c r="A586" s="6" t="s">
        <v>12</v>
      </c>
      <c r="B586" s="8" t="s">
        <v>1315</v>
      </c>
      <c r="C586" s="8" t="s">
        <v>39</v>
      </c>
      <c r="D586" s="8" t="s">
        <v>1399</v>
      </c>
      <c r="E586" s="8" t="s">
        <v>1949</v>
      </c>
      <c r="F586" s="8" t="s">
        <v>149</v>
      </c>
      <c r="G586" s="8" t="s">
        <v>1362</v>
      </c>
      <c r="H586" s="6" t="s">
        <v>19</v>
      </c>
      <c r="I586" s="19">
        <v>742303.47</v>
      </c>
      <c r="J586" s="19">
        <v>593842.78</v>
      </c>
      <c r="K586" s="72">
        <v>80</v>
      </c>
      <c r="L586" s="72">
        <f t="shared" si="26"/>
        <v>296921.38799999998</v>
      </c>
      <c r="M586" s="19"/>
      <c r="N586" s="19">
        <v>593842.78</v>
      </c>
      <c r="O586" s="19">
        <f t="shared" si="25"/>
        <v>296921.38799999998</v>
      </c>
      <c r="P586" s="6" t="s">
        <v>2609</v>
      </c>
      <c r="Q586" s="8" t="s">
        <v>2820</v>
      </c>
      <c r="R586" s="61"/>
    </row>
    <row r="587" spans="1:18" s="44" customFormat="1" ht="33.75" customHeight="1" outlineLevel="2" x14ac:dyDescent="0.25">
      <c r="A587" s="6" t="s">
        <v>12</v>
      </c>
      <c r="B587" s="8" t="s">
        <v>1315</v>
      </c>
      <c r="C587" s="8" t="s">
        <v>39</v>
      </c>
      <c r="D587" s="8" t="s">
        <v>1400</v>
      </c>
      <c r="E587" s="8" t="s">
        <v>1949</v>
      </c>
      <c r="F587" s="8" t="s">
        <v>149</v>
      </c>
      <c r="G587" s="8" t="s">
        <v>1401</v>
      </c>
      <c r="H587" s="6" t="s">
        <v>19</v>
      </c>
      <c r="I587" s="19">
        <v>108924.48</v>
      </c>
      <c r="J587" s="19">
        <v>87139.58</v>
      </c>
      <c r="K587" s="72">
        <v>80</v>
      </c>
      <c r="L587" s="72">
        <f t="shared" si="26"/>
        <v>43569.792000000001</v>
      </c>
      <c r="M587" s="19"/>
      <c r="N587" s="19">
        <v>87139.58</v>
      </c>
      <c r="O587" s="19">
        <f t="shared" si="25"/>
        <v>43569.792000000001</v>
      </c>
      <c r="P587" s="6" t="s">
        <v>2609</v>
      </c>
      <c r="Q587" s="8" t="s">
        <v>2820</v>
      </c>
      <c r="R587" s="61"/>
    </row>
    <row r="588" spans="1:18" s="44" customFormat="1" ht="33.75" customHeight="1" outlineLevel="2" x14ac:dyDescent="0.25">
      <c r="A588" s="6" t="s">
        <v>12</v>
      </c>
      <c r="B588" s="8" t="s">
        <v>1315</v>
      </c>
      <c r="C588" s="8" t="s">
        <v>39</v>
      </c>
      <c r="D588" s="8" t="s">
        <v>1402</v>
      </c>
      <c r="E588" s="8" t="s">
        <v>1949</v>
      </c>
      <c r="F588" s="8" t="s">
        <v>149</v>
      </c>
      <c r="G588" s="8" t="s">
        <v>115</v>
      </c>
      <c r="H588" s="6" t="s">
        <v>19</v>
      </c>
      <c r="I588" s="19">
        <v>544320</v>
      </c>
      <c r="J588" s="19">
        <v>435456</v>
      </c>
      <c r="K588" s="72">
        <v>80</v>
      </c>
      <c r="L588" s="72">
        <f t="shared" si="26"/>
        <v>217728</v>
      </c>
      <c r="M588" s="19"/>
      <c r="N588" s="19">
        <v>435456</v>
      </c>
      <c r="O588" s="19">
        <f t="shared" si="25"/>
        <v>217728</v>
      </c>
      <c r="P588" s="6" t="s">
        <v>2638</v>
      </c>
      <c r="Q588" s="8" t="s">
        <v>2496</v>
      </c>
      <c r="R588" s="61"/>
    </row>
    <row r="589" spans="1:18" s="44" customFormat="1" ht="33.75" customHeight="1" outlineLevel="2" x14ac:dyDescent="0.25">
      <c r="A589" s="6" t="s">
        <v>12</v>
      </c>
      <c r="B589" s="8" t="s">
        <v>1315</v>
      </c>
      <c r="C589" s="8" t="s">
        <v>39</v>
      </c>
      <c r="D589" s="8" t="s">
        <v>1403</v>
      </c>
      <c r="E589" s="8" t="s">
        <v>1949</v>
      </c>
      <c r="F589" s="8" t="s">
        <v>149</v>
      </c>
      <c r="G589" s="8" t="s">
        <v>240</v>
      </c>
      <c r="H589" s="6" t="s">
        <v>19</v>
      </c>
      <c r="I589" s="19">
        <v>215712</v>
      </c>
      <c r="J589" s="19">
        <v>172569.60000000001</v>
      </c>
      <c r="K589" s="72">
        <v>80</v>
      </c>
      <c r="L589" s="72">
        <f t="shared" si="26"/>
        <v>86284.800000000003</v>
      </c>
      <c r="M589" s="19"/>
      <c r="N589" s="19">
        <v>172569.60000000001</v>
      </c>
      <c r="O589" s="19">
        <f t="shared" si="25"/>
        <v>86284.800000000003</v>
      </c>
      <c r="P589" s="6" t="s">
        <v>2638</v>
      </c>
      <c r="Q589" s="8" t="s">
        <v>2496</v>
      </c>
      <c r="R589" s="61"/>
    </row>
    <row r="590" spans="1:18" ht="33.75" customHeight="1" outlineLevel="2" x14ac:dyDescent="0.2">
      <c r="A590" s="6" t="s">
        <v>12</v>
      </c>
      <c r="B590" s="2" t="s">
        <v>1315</v>
      </c>
      <c r="C590" s="8" t="s">
        <v>39</v>
      </c>
      <c r="D590" s="2" t="s">
        <v>1404</v>
      </c>
      <c r="E590" s="8" t="s">
        <v>1949</v>
      </c>
      <c r="F590" s="2" t="s">
        <v>149</v>
      </c>
      <c r="G590" s="2" t="s">
        <v>241</v>
      </c>
      <c r="H590" s="3" t="s">
        <v>19</v>
      </c>
      <c r="I590" s="19">
        <v>102384</v>
      </c>
      <c r="J590" s="19">
        <v>81907.199999999997</v>
      </c>
      <c r="K590" s="72">
        <v>80</v>
      </c>
      <c r="L590" s="72">
        <f t="shared" si="26"/>
        <v>40953.600000000006</v>
      </c>
      <c r="M590" s="19"/>
      <c r="N590" s="19">
        <v>81907.199999999997</v>
      </c>
      <c r="O590" s="19">
        <f t="shared" si="25"/>
        <v>40953.600000000006</v>
      </c>
      <c r="P590" s="6" t="s">
        <v>2532</v>
      </c>
      <c r="Q590" s="2" t="s">
        <v>2848</v>
      </c>
    </row>
    <row r="591" spans="1:18" s="44" customFormat="1" ht="33.75" customHeight="1" outlineLevel="2" x14ac:dyDescent="0.25">
      <c r="A591" s="6" t="s">
        <v>12</v>
      </c>
      <c r="B591" s="8" t="s">
        <v>1315</v>
      </c>
      <c r="C591" s="8" t="s">
        <v>39</v>
      </c>
      <c r="D591" s="8" t="s">
        <v>1405</v>
      </c>
      <c r="E591" s="8" t="s">
        <v>1949</v>
      </c>
      <c r="F591" s="8" t="s">
        <v>1020</v>
      </c>
      <c r="G591" s="8" t="s">
        <v>251</v>
      </c>
      <c r="H591" s="6" t="s">
        <v>19</v>
      </c>
      <c r="I591" s="19">
        <v>43802317.719999999</v>
      </c>
      <c r="J591" s="19">
        <v>26215520.807999998</v>
      </c>
      <c r="K591" s="72">
        <v>80</v>
      </c>
      <c r="L591" s="72">
        <v>26215520.807999998</v>
      </c>
      <c r="M591" s="19"/>
      <c r="N591" s="19">
        <v>26215520.807999998</v>
      </c>
      <c r="O591" s="19">
        <f t="shared" si="25"/>
        <v>26215520.807999998</v>
      </c>
      <c r="P591" s="6" t="s">
        <v>2640</v>
      </c>
      <c r="Q591" s="8" t="s">
        <v>2849</v>
      </c>
      <c r="R591" s="61"/>
    </row>
    <row r="592" spans="1:18" s="44" customFormat="1" ht="33.75" customHeight="1" outlineLevel="2" x14ac:dyDescent="0.25">
      <c r="A592" s="6" t="s">
        <v>12</v>
      </c>
      <c r="B592" s="8" t="s">
        <v>1315</v>
      </c>
      <c r="C592" s="8" t="s">
        <v>39</v>
      </c>
      <c r="D592" s="8" t="s">
        <v>1406</v>
      </c>
      <c r="E592" s="8" t="s">
        <v>1949</v>
      </c>
      <c r="F592" s="8" t="s">
        <v>149</v>
      </c>
      <c r="G592" s="8" t="s">
        <v>459</v>
      </c>
      <c r="H592" s="6" t="s">
        <v>19</v>
      </c>
      <c r="I592" s="19">
        <v>7290402.1699999999</v>
      </c>
      <c r="J592" s="19">
        <v>23385700</v>
      </c>
      <c r="K592" s="72">
        <v>80</v>
      </c>
      <c r="L592" s="72">
        <v>23385700</v>
      </c>
      <c r="M592" s="19"/>
      <c r="N592" s="19">
        <v>23385700</v>
      </c>
      <c r="O592" s="19">
        <f t="shared" si="25"/>
        <v>23385700</v>
      </c>
      <c r="P592" s="6" t="s">
        <v>2611</v>
      </c>
      <c r="Q592" s="8" t="s">
        <v>2844</v>
      </c>
      <c r="R592" s="61"/>
    </row>
    <row r="593" spans="1:18" s="44" customFormat="1" ht="33.75" customHeight="1" outlineLevel="2" x14ac:dyDescent="0.25">
      <c r="A593" s="6" t="s">
        <v>12</v>
      </c>
      <c r="B593" s="8" t="s">
        <v>1315</v>
      </c>
      <c r="C593" s="8" t="s">
        <v>39</v>
      </c>
      <c r="D593" s="8" t="s">
        <v>1407</v>
      </c>
      <c r="E593" s="8" t="s">
        <v>1949</v>
      </c>
      <c r="F593" s="8" t="s">
        <v>516</v>
      </c>
      <c r="G593" s="8" t="s">
        <v>251</v>
      </c>
      <c r="H593" s="6" t="s">
        <v>19</v>
      </c>
      <c r="I593" s="19">
        <v>3925664.56</v>
      </c>
      <c r="J593" s="19">
        <v>3140531.65</v>
      </c>
      <c r="K593" s="72">
        <v>80</v>
      </c>
      <c r="L593" s="72">
        <f t="shared" si="26"/>
        <v>1570265.824</v>
      </c>
      <c r="M593" s="19"/>
      <c r="N593" s="19">
        <v>3140531.65</v>
      </c>
      <c r="O593" s="19">
        <f t="shared" si="25"/>
        <v>1570265.824</v>
      </c>
      <c r="P593" s="6"/>
      <c r="Q593" s="8" t="s">
        <v>2642</v>
      </c>
      <c r="R593" s="61"/>
    </row>
    <row r="594" spans="1:18" s="44" customFormat="1" ht="33.75" customHeight="1" outlineLevel="2" x14ac:dyDescent="0.25">
      <c r="A594" s="6" t="s">
        <v>12</v>
      </c>
      <c r="B594" s="8" t="s">
        <v>1315</v>
      </c>
      <c r="C594" s="8" t="s">
        <v>39</v>
      </c>
      <c r="D594" s="8" t="s">
        <v>1408</v>
      </c>
      <c r="E594" s="8" t="s">
        <v>1949</v>
      </c>
      <c r="F594" s="8" t="s">
        <v>149</v>
      </c>
      <c r="G594" s="8" t="s">
        <v>1116</v>
      </c>
      <c r="H594" s="6" t="s">
        <v>19</v>
      </c>
      <c r="I594" s="19">
        <v>89693.25</v>
      </c>
      <c r="J594" s="19">
        <v>71754.600000000006</v>
      </c>
      <c r="K594" s="72">
        <v>80</v>
      </c>
      <c r="L594" s="72">
        <f t="shared" si="26"/>
        <v>35877.300000000003</v>
      </c>
      <c r="M594" s="19"/>
      <c r="N594" s="19">
        <v>71754.600000000006</v>
      </c>
      <c r="O594" s="19">
        <f t="shared" si="25"/>
        <v>35877.300000000003</v>
      </c>
      <c r="P594" s="6"/>
      <c r="Q594" s="8"/>
      <c r="R594" s="61"/>
    </row>
    <row r="595" spans="1:18" s="44" customFormat="1" ht="33.75" customHeight="1" outlineLevel="2" x14ac:dyDescent="0.25">
      <c r="A595" s="6" t="s">
        <v>12</v>
      </c>
      <c r="B595" s="8" t="s">
        <v>1315</v>
      </c>
      <c r="C595" s="8" t="s">
        <v>39</v>
      </c>
      <c r="D595" s="8" t="s">
        <v>1409</v>
      </c>
      <c r="E595" s="8" t="s">
        <v>1949</v>
      </c>
      <c r="F595" s="8" t="s">
        <v>149</v>
      </c>
      <c r="G595" s="8" t="s">
        <v>561</v>
      </c>
      <c r="H595" s="6" t="s">
        <v>19</v>
      </c>
      <c r="I595" s="19">
        <v>2675669.7599999998</v>
      </c>
      <c r="J595" s="19">
        <v>2140535.81</v>
      </c>
      <c r="K595" s="72">
        <v>80</v>
      </c>
      <c r="L595" s="72">
        <f t="shared" si="26"/>
        <v>1070267.9039999999</v>
      </c>
      <c r="M595" s="19"/>
      <c r="N595" s="19">
        <v>2140535.81</v>
      </c>
      <c r="O595" s="19">
        <f t="shared" si="25"/>
        <v>1070267.9039999999</v>
      </c>
      <c r="P595" s="6"/>
      <c r="Q595" s="8"/>
      <c r="R595" s="61"/>
    </row>
    <row r="596" spans="1:18" s="44" customFormat="1" ht="33.75" customHeight="1" outlineLevel="2" x14ac:dyDescent="0.25">
      <c r="A596" s="6" t="s">
        <v>12</v>
      </c>
      <c r="B596" s="8" t="s">
        <v>1315</v>
      </c>
      <c r="C596" s="8" t="s">
        <v>39</v>
      </c>
      <c r="D596" s="8" t="s">
        <v>1410</v>
      </c>
      <c r="E596" s="8" t="s">
        <v>1949</v>
      </c>
      <c r="F596" s="8" t="s">
        <v>149</v>
      </c>
      <c r="G596" s="8" t="s">
        <v>1370</v>
      </c>
      <c r="H596" s="6" t="s">
        <v>19</v>
      </c>
      <c r="I596" s="19">
        <v>15656652</v>
      </c>
      <c r="J596" s="19">
        <v>12525321.6</v>
      </c>
      <c r="K596" s="72">
        <v>80</v>
      </c>
      <c r="L596" s="72">
        <f t="shared" si="26"/>
        <v>6262660.8000000007</v>
      </c>
      <c r="M596" s="19"/>
      <c r="N596" s="19">
        <v>12525321.6</v>
      </c>
      <c r="O596" s="19">
        <f t="shared" si="25"/>
        <v>6262660.8000000007</v>
      </c>
      <c r="P596" s="6"/>
      <c r="Q596" s="8" t="s">
        <v>2643</v>
      </c>
      <c r="R596" s="61"/>
    </row>
    <row r="597" spans="1:18" s="44" customFormat="1" ht="33.75" customHeight="1" outlineLevel="2" x14ac:dyDescent="0.25">
      <c r="A597" s="6" t="s">
        <v>12</v>
      </c>
      <c r="B597" s="8" t="s">
        <v>1315</v>
      </c>
      <c r="C597" s="8" t="s">
        <v>39</v>
      </c>
      <c r="D597" s="8" t="s">
        <v>1411</v>
      </c>
      <c r="E597" s="8" t="s">
        <v>1949</v>
      </c>
      <c r="F597" s="8" t="s">
        <v>149</v>
      </c>
      <c r="G597" s="8" t="s">
        <v>804</v>
      </c>
      <c r="H597" s="6" t="s">
        <v>19</v>
      </c>
      <c r="I597" s="19">
        <v>69979.14</v>
      </c>
      <c r="J597" s="19">
        <v>55983.31</v>
      </c>
      <c r="K597" s="72">
        <v>80</v>
      </c>
      <c r="L597" s="72">
        <f t="shared" si="26"/>
        <v>27991.656000000003</v>
      </c>
      <c r="M597" s="19"/>
      <c r="N597" s="19">
        <v>55983.31</v>
      </c>
      <c r="O597" s="19">
        <f t="shared" si="25"/>
        <v>27991.656000000003</v>
      </c>
      <c r="P597" s="6"/>
      <c r="Q597" s="8" t="s">
        <v>2412</v>
      </c>
      <c r="R597" s="61"/>
    </row>
    <row r="598" spans="1:18" ht="33.75" customHeight="1" outlineLevel="2" x14ac:dyDescent="0.2">
      <c r="A598" s="6" t="s">
        <v>12</v>
      </c>
      <c r="B598" s="2" t="s">
        <v>1315</v>
      </c>
      <c r="C598" s="8" t="s">
        <v>39</v>
      </c>
      <c r="D598" s="2" t="s">
        <v>487</v>
      </c>
      <c r="E598" s="8" t="s">
        <v>1949</v>
      </c>
      <c r="F598" s="2" t="s">
        <v>149</v>
      </c>
      <c r="G598" s="2" t="s">
        <v>485</v>
      </c>
      <c r="H598" s="3" t="s">
        <v>19</v>
      </c>
      <c r="I598" s="19">
        <v>2432818.59</v>
      </c>
      <c r="J598" s="19">
        <v>1946254.87</v>
      </c>
      <c r="K598" s="72">
        <v>80</v>
      </c>
      <c r="L598" s="72">
        <f t="shared" si="26"/>
        <v>973127.43599999999</v>
      </c>
      <c r="M598" s="19"/>
      <c r="N598" s="19">
        <v>1946254.87</v>
      </c>
      <c r="O598" s="19">
        <f t="shared" si="25"/>
        <v>973127.43599999999</v>
      </c>
      <c r="P598" s="6" t="s">
        <v>2031</v>
      </c>
      <c r="Q598" s="2" t="s">
        <v>2494</v>
      </c>
    </row>
    <row r="599" spans="1:18" s="44" customFormat="1" ht="33.75" customHeight="1" outlineLevel="2" x14ac:dyDescent="0.25">
      <c r="A599" s="6" t="s">
        <v>12</v>
      </c>
      <c r="B599" s="8" t="s">
        <v>1315</v>
      </c>
      <c r="C599" s="8" t="s">
        <v>39</v>
      </c>
      <c r="D599" s="8" t="s">
        <v>1412</v>
      </c>
      <c r="E599" s="8" t="s">
        <v>1949</v>
      </c>
      <c r="F599" s="8" t="s">
        <v>149</v>
      </c>
      <c r="G599" s="8" t="s">
        <v>1372</v>
      </c>
      <c r="H599" s="6" t="s">
        <v>19</v>
      </c>
      <c r="I599" s="19">
        <v>26047333.399999999</v>
      </c>
      <c r="J599" s="19">
        <v>20837866.719999999</v>
      </c>
      <c r="K599" s="72">
        <v>80</v>
      </c>
      <c r="L599" s="72">
        <f t="shared" si="26"/>
        <v>10418933.359999999</v>
      </c>
      <c r="M599" s="19"/>
      <c r="N599" s="19">
        <v>20837866.719999999</v>
      </c>
      <c r="O599" s="19">
        <f t="shared" si="25"/>
        <v>10418933.359999999</v>
      </c>
      <c r="P599" s="6"/>
      <c r="Q599" s="8" t="s">
        <v>2412</v>
      </c>
      <c r="R599" s="61"/>
    </row>
    <row r="600" spans="1:18" s="44" customFormat="1" ht="33.75" customHeight="1" outlineLevel="2" x14ac:dyDescent="0.25">
      <c r="A600" s="6" t="s">
        <v>12</v>
      </c>
      <c r="B600" s="8" t="s">
        <v>1315</v>
      </c>
      <c r="C600" s="8" t="s">
        <v>39</v>
      </c>
      <c r="D600" s="8" t="s">
        <v>1413</v>
      </c>
      <c r="E600" s="8" t="s">
        <v>1949</v>
      </c>
      <c r="F600" s="8" t="s">
        <v>149</v>
      </c>
      <c r="G600" s="8" t="s">
        <v>1375</v>
      </c>
      <c r="H600" s="6" t="s">
        <v>19</v>
      </c>
      <c r="I600" s="19">
        <v>271665.36</v>
      </c>
      <c r="J600" s="19">
        <v>217332.29</v>
      </c>
      <c r="K600" s="72">
        <v>80</v>
      </c>
      <c r="L600" s="72">
        <f t="shared" si="26"/>
        <v>108666.144</v>
      </c>
      <c r="M600" s="19"/>
      <c r="N600" s="19">
        <v>217332.29</v>
      </c>
      <c r="O600" s="19">
        <f t="shared" si="25"/>
        <v>108666.144</v>
      </c>
      <c r="P600" s="6" t="s">
        <v>2636</v>
      </c>
      <c r="Q600" s="8" t="s">
        <v>2412</v>
      </c>
      <c r="R600" s="61"/>
    </row>
    <row r="601" spans="1:18" s="44" customFormat="1" ht="33.75" customHeight="1" outlineLevel="2" x14ac:dyDescent="0.25">
      <c r="A601" s="6" t="s">
        <v>12</v>
      </c>
      <c r="B601" s="8" t="s">
        <v>1315</v>
      </c>
      <c r="C601" s="8" t="s">
        <v>39</v>
      </c>
      <c r="D601" s="8" t="s">
        <v>1414</v>
      </c>
      <c r="E601" s="8" t="s">
        <v>1949</v>
      </c>
      <c r="F601" s="8" t="s">
        <v>149</v>
      </c>
      <c r="G601" s="8" t="s">
        <v>63</v>
      </c>
      <c r="H601" s="6" t="s">
        <v>19</v>
      </c>
      <c r="I601" s="19">
        <v>741868.99</v>
      </c>
      <c r="J601" s="19">
        <v>593495.18999999994</v>
      </c>
      <c r="K601" s="72">
        <v>80</v>
      </c>
      <c r="L601" s="72">
        <f t="shared" si="26"/>
        <v>296747.59600000002</v>
      </c>
      <c r="M601" s="19"/>
      <c r="N601" s="19">
        <v>593495.18999999994</v>
      </c>
      <c r="O601" s="19">
        <f t="shared" ref="O601:O634" si="27">L601-M601</f>
        <v>296747.59600000002</v>
      </c>
      <c r="P601" s="6" t="s">
        <v>2636</v>
      </c>
      <c r="Q601" s="8" t="s">
        <v>2412</v>
      </c>
      <c r="R601" s="61"/>
    </row>
    <row r="602" spans="1:18" s="44" customFormat="1" ht="33.75" customHeight="1" outlineLevel="2" x14ac:dyDescent="0.25">
      <c r="A602" s="6" t="s">
        <v>12</v>
      </c>
      <c r="B602" s="8" t="s">
        <v>1315</v>
      </c>
      <c r="C602" s="8" t="s">
        <v>39</v>
      </c>
      <c r="D602" s="8" t="s">
        <v>1415</v>
      </c>
      <c r="E602" s="8" t="s">
        <v>1949</v>
      </c>
      <c r="F602" s="8" t="s">
        <v>149</v>
      </c>
      <c r="G602" s="8" t="s">
        <v>460</v>
      </c>
      <c r="H602" s="6" t="s">
        <v>19</v>
      </c>
      <c r="I602" s="19">
        <v>371260.8</v>
      </c>
      <c r="J602" s="19">
        <v>297008.64000000001</v>
      </c>
      <c r="K602" s="72">
        <v>80</v>
      </c>
      <c r="L602" s="72">
        <f t="shared" si="26"/>
        <v>148504.32000000001</v>
      </c>
      <c r="M602" s="19"/>
      <c r="N602" s="19">
        <v>297008.64000000001</v>
      </c>
      <c r="O602" s="19">
        <f t="shared" si="27"/>
        <v>148504.32000000001</v>
      </c>
      <c r="P602" s="6" t="s">
        <v>2636</v>
      </c>
      <c r="Q602" s="8" t="s">
        <v>2412</v>
      </c>
      <c r="R602" s="61"/>
    </row>
    <row r="603" spans="1:18" s="44" customFormat="1" ht="33.75" customHeight="1" outlineLevel="2" x14ac:dyDescent="0.25">
      <c r="A603" s="6" t="s">
        <v>12</v>
      </c>
      <c r="B603" s="8" t="s">
        <v>1315</v>
      </c>
      <c r="C603" s="8" t="s">
        <v>39</v>
      </c>
      <c r="D603" s="8" t="s">
        <v>1416</v>
      </c>
      <c r="E603" s="8" t="s">
        <v>1949</v>
      </c>
      <c r="F603" s="8" t="s">
        <v>149</v>
      </c>
      <c r="G603" s="8" t="s">
        <v>1381</v>
      </c>
      <c r="H603" s="6" t="s">
        <v>19</v>
      </c>
      <c r="I603" s="19">
        <v>170100</v>
      </c>
      <c r="J603" s="19">
        <v>136080</v>
      </c>
      <c r="K603" s="72">
        <v>80</v>
      </c>
      <c r="L603" s="72">
        <f t="shared" si="26"/>
        <v>68040</v>
      </c>
      <c r="M603" s="19"/>
      <c r="N603" s="19">
        <v>136080</v>
      </c>
      <c r="O603" s="19">
        <f t="shared" si="27"/>
        <v>68040</v>
      </c>
      <c r="P603" s="6"/>
      <c r="Q603" s="8" t="s">
        <v>2412</v>
      </c>
      <c r="R603" s="61"/>
    </row>
    <row r="604" spans="1:18" s="44" customFormat="1" ht="33.75" customHeight="1" outlineLevel="2" x14ac:dyDescent="0.25">
      <c r="A604" s="6" t="s">
        <v>12</v>
      </c>
      <c r="B604" s="8" t="s">
        <v>1315</v>
      </c>
      <c r="C604" s="8" t="s">
        <v>39</v>
      </c>
      <c r="D604" s="8" t="s">
        <v>1417</v>
      </c>
      <c r="E604" s="8" t="s">
        <v>1949</v>
      </c>
      <c r="F604" s="8" t="s">
        <v>149</v>
      </c>
      <c r="G604" s="8" t="s">
        <v>1418</v>
      </c>
      <c r="H604" s="6" t="s">
        <v>19</v>
      </c>
      <c r="I604" s="19">
        <v>1634664.24</v>
      </c>
      <c r="J604" s="19">
        <v>1307731.3899999999</v>
      </c>
      <c r="K604" s="72">
        <v>80</v>
      </c>
      <c r="L604" s="72">
        <f t="shared" si="26"/>
        <v>653865.696</v>
      </c>
      <c r="M604" s="19"/>
      <c r="N604" s="19">
        <v>1307731.3899999999</v>
      </c>
      <c r="O604" s="19">
        <f t="shared" si="27"/>
        <v>653865.696</v>
      </c>
      <c r="P604" s="6" t="s">
        <v>2636</v>
      </c>
      <c r="Q604" s="8" t="s">
        <v>2412</v>
      </c>
      <c r="R604" s="61"/>
    </row>
    <row r="605" spans="1:18" s="44" customFormat="1" ht="33.75" customHeight="1" outlineLevel="2" x14ac:dyDescent="0.25">
      <c r="A605" s="6" t="s">
        <v>12</v>
      </c>
      <c r="B605" s="8" t="s">
        <v>1315</v>
      </c>
      <c r="C605" s="8" t="s">
        <v>39</v>
      </c>
      <c r="D605" s="8" t="s">
        <v>1419</v>
      </c>
      <c r="E605" s="8" t="s">
        <v>1949</v>
      </c>
      <c r="F605" s="8" t="s">
        <v>149</v>
      </c>
      <c r="G605" s="8" t="s">
        <v>1385</v>
      </c>
      <c r="H605" s="6" t="s">
        <v>19</v>
      </c>
      <c r="I605" s="19">
        <v>830502.27</v>
      </c>
      <c r="J605" s="19">
        <v>664401.81999999995</v>
      </c>
      <c r="K605" s="72">
        <v>80</v>
      </c>
      <c r="L605" s="72">
        <f t="shared" si="26"/>
        <v>332200.90800000005</v>
      </c>
      <c r="M605" s="19"/>
      <c r="N605" s="19">
        <v>664401.81999999995</v>
      </c>
      <c r="O605" s="19">
        <f t="shared" si="27"/>
        <v>332200.90800000005</v>
      </c>
      <c r="P605" s="6" t="s">
        <v>2636</v>
      </c>
      <c r="Q605" s="8" t="s">
        <v>2412</v>
      </c>
      <c r="R605" s="61"/>
    </row>
    <row r="606" spans="1:18" s="44" customFormat="1" ht="33.75" customHeight="1" outlineLevel="2" x14ac:dyDescent="0.25">
      <c r="A606" s="6" t="s">
        <v>12</v>
      </c>
      <c r="B606" s="8" t="s">
        <v>1315</v>
      </c>
      <c r="C606" s="8" t="s">
        <v>39</v>
      </c>
      <c r="D606" s="8" t="s">
        <v>1420</v>
      </c>
      <c r="E606" s="8" t="s">
        <v>1949</v>
      </c>
      <c r="F606" s="8" t="s">
        <v>149</v>
      </c>
      <c r="G606" s="8" t="s">
        <v>458</v>
      </c>
      <c r="H606" s="6" t="s">
        <v>19</v>
      </c>
      <c r="I606" s="19">
        <v>1302702.17</v>
      </c>
      <c r="J606" s="19">
        <v>1042161.74</v>
      </c>
      <c r="K606" s="72">
        <v>80</v>
      </c>
      <c r="L606" s="72">
        <f t="shared" si="26"/>
        <v>521080.86800000002</v>
      </c>
      <c r="M606" s="19"/>
      <c r="N606" s="19">
        <v>1042161.74</v>
      </c>
      <c r="O606" s="19">
        <f t="shared" si="27"/>
        <v>521080.86800000002</v>
      </c>
      <c r="P606" s="6" t="s">
        <v>2636</v>
      </c>
      <c r="Q606" s="8" t="s">
        <v>2412</v>
      </c>
      <c r="R606" s="61"/>
    </row>
    <row r="607" spans="1:18" s="44" customFormat="1" ht="33.75" customHeight="1" outlineLevel="2" x14ac:dyDescent="0.25">
      <c r="A607" s="6" t="s">
        <v>12</v>
      </c>
      <c r="B607" s="8" t="s">
        <v>1315</v>
      </c>
      <c r="C607" s="8" t="s">
        <v>39</v>
      </c>
      <c r="D607" s="8" t="s">
        <v>1421</v>
      </c>
      <c r="E607" s="8" t="s">
        <v>1949</v>
      </c>
      <c r="F607" s="8" t="s">
        <v>149</v>
      </c>
      <c r="G607" s="8" t="s">
        <v>1422</v>
      </c>
      <c r="H607" s="6" t="s">
        <v>19</v>
      </c>
      <c r="I607" s="19">
        <v>388028.35</v>
      </c>
      <c r="J607" s="19">
        <v>310422.68</v>
      </c>
      <c r="K607" s="72">
        <v>80</v>
      </c>
      <c r="L607" s="72">
        <f t="shared" si="26"/>
        <v>155211.34</v>
      </c>
      <c r="M607" s="19"/>
      <c r="N607" s="19">
        <v>310422.68</v>
      </c>
      <c r="O607" s="19">
        <f t="shared" si="27"/>
        <v>155211.34</v>
      </c>
      <c r="P607" s="6" t="s">
        <v>2031</v>
      </c>
      <c r="Q607" s="8" t="s">
        <v>2484</v>
      </c>
      <c r="R607" s="61"/>
    </row>
    <row r="608" spans="1:18" s="44" customFormat="1" ht="33.75" customHeight="1" outlineLevel="2" x14ac:dyDescent="0.25">
      <c r="A608" s="6" t="s">
        <v>12</v>
      </c>
      <c r="B608" s="8" t="s">
        <v>1315</v>
      </c>
      <c r="C608" s="8" t="s">
        <v>39</v>
      </c>
      <c r="D608" s="8" t="s">
        <v>1423</v>
      </c>
      <c r="E608" s="8" t="s">
        <v>1949</v>
      </c>
      <c r="F608" s="8" t="s">
        <v>149</v>
      </c>
      <c r="G608" s="8" t="s">
        <v>1424</v>
      </c>
      <c r="H608" s="6" t="s">
        <v>19</v>
      </c>
      <c r="I608" s="19">
        <v>19692393.16</v>
      </c>
      <c r="J608" s="19">
        <v>15753914.529999999</v>
      </c>
      <c r="K608" s="72">
        <v>80</v>
      </c>
      <c r="L608" s="72">
        <f t="shared" si="26"/>
        <v>7876957.2640000004</v>
      </c>
      <c r="M608" s="19"/>
      <c r="N608" s="19">
        <v>15753914.529999999</v>
      </c>
      <c r="O608" s="19">
        <f t="shared" si="27"/>
        <v>7876957.2640000004</v>
      </c>
      <c r="P608" s="6"/>
      <c r="Q608" s="8" t="s">
        <v>2850</v>
      </c>
      <c r="R608" s="61"/>
    </row>
    <row r="609" spans="1:18" s="44" customFormat="1" ht="33.75" customHeight="1" outlineLevel="2" x14ac:dyDescent="0.25">
      <c r="A609" s="6" t="s">
        <v>12</v>
      </c>
      <c r="B609" s="8" t="s">
        <v>1315</v>
      </c>
      <c r="C609" s="8" t="s">
        <v>39</v>
      </c>
      <c r="D609" s="8" t="s">
        <v>1421</v>
      </c>
      <c r="E609" s="8" t="s">
        <v>1949</v>
      </c>
      <c r="F609" s="8" t="s">
        <v>149</v>
      </c>
      <c r="G609" s="8" t="s">
        <v>1425</v>
      </c>
      <c r="H609" s="6" t="s">
        <v>19</v>
      </c>
      <c r="I609" s="19">
        <v>139064.04</v>
      </c>
      <c r="J609" s="19">
        <v>111251.23</v>
      </c>
      <c r="K609" s="72">
        <v>80</v>
      </c>
      <c r="L609" s="72">
        <f t="shared" si="26"/>
        <v>55625.616000000009</v>
      </c>
      <c r="M609" s="19"/>
      <c r="N609" s="19">
        <v>111251.23</v>
      </c>
      <c r="O609" s="19">
        <f t="shared" si="27"/>
        <v>55625.616000000009</v>
      </c>
      <c r="P609" s="6"/>
      <c r="Q609" s="8" t="s">
        <v>2826</v>
      </c>
      <c r="R609" s="61"/>
    </row>
    <row r="610" spans="1:18" s="44" customFormat="1" ht="33.75" customHeight="1" outlineLevel="2" x14ac:dyDescent="0.25">
      <c r="A610" s="6" t="s">
        <v>12</v>
      </c>
      <c r="B610" s="8" t="s">
        <v>1315</v>
      </c>
      <c r="C610" s="8" t="s">
        <v>39</v>
      </c>
      <c r="D610" s="8" t="s">
        <v>1426</v>
      </c>
      <c r="E610" s="8" t="s">
        <v>1949</v>
      </c>
      <c r="F610" s="8" t="s">
        <v>149</v>
      </c>
      <c r="G610" s="8" t="s">
        <v>1427</v>
      </c>
      <c r="H610" s="6" t="s">
        <v>19</v>
      </c>
      <c r="I610" s="19">
        <v>231807.67</v>
      </c>
      <c r="J610" s="19">
        <v>185446.14</v>
      </c>
      <c r="K610" s="72">
        <v>80</v>
      </c>
      <c r="L610" s="72">
        <f t="shared" si="26"/>
        <v>92723.068000000014</v>
      </c>
      <c r="M610" s="19"/>
      <c r="N610" s="19">
        <v>185446.14</v>
      </c>
      <c r="O610" s="19">
        <f t="shared" si="27"/>
        <v>92723.068000000014</v>
      </c>
      <c r="P610" s="6"/>
      <c r="Q610" s="8" t="s">
        <v>2851</v>
      </c>
      <c r="R610" s="61"/>
    </row>
    <row r="611" spans="1:18" s="44" customFormat="1" ht="33.75" customHeight="1" outlineLevel="2" x14ac:dyDescent="0.25">
      <c r="A611" s="6" t="s">
        <v>12</v>
      </c>
      <c r="B611" s="8" t="s">
        <v>1315</v>
      </c>
      <c r="C611" s="8" t="s">
        <v>39</v>
      </c>
      <c r="D611" s="8" t="s">
        <v>1428</v>
      </c>
      <c r="E611" s="8" t="s">
        <v>1949</v>
      </c>
      <c r="F611" s="8" t="s">
        <v>149</v>
      </c>
      <c r="G611" s="8" t="s">
        <v>68</v>
      </c>
      <c r="H611" s="6" t="s">
        <v>19</v>
      </c>
      <c r="I611" s="19">
        <v>921609.12</v>
      </c>
      <c r="J611" s="19">
        <v>737287.3</v>
      </c>
      <c r="K611" s="72">
        <v>80</v>
      </c>
      <c r="L611" s="72">
        <f t="shared" si="26"/>
        <v>368643.64800000004</v>
      </c>
      <c r="M611" s="19"/>
      <c r="N611" s="19">
        <v>737287.3</v>
      </c>
      <c r="O611" s="19">
        <f t="shared" si="27"/>
        <v>368643.64800000004</v>
      </c>
      <c r="P611" s="6"/>
      <c r="Q611" s="8" t="s">
        <v>2826</v>
      </c>
      <c r="R611" s="61"/>
    </row>
    <row r="612" spans="1:18" s="44" customFormat="1" ht="25.5" customHeight="1" outlineLevel="2" x14ac:dyDescent="0.25">
      <c r="A612" s="6" t="s">
        <v>12</v>
      </c>
      <c r="B612" s="8" t="s">
        <v>1315</v>
      </c>
      <c r="C612" s="8" t="s">
        <v>39</v>
      </c>
      <c r="D612" s="8" t="s">
        <v>1429</v>
      </c>
      <c r="E612" s="8" t="s">
        <v>1949</v>
      </c>
      <c r="F612" s="8" t="s">
        <v>149</v>
      </c>
      <c r="G612" s="8" t="s">
        <v>1430</v>
      </c>
      <c r="H612" s="6" t="s">
        <v>19</v>
      </c>
      <c r="I612" s="19">
        <v>82802.84</v>
      </c>
      <c r="J612" s="19">
        <v>66242.27</v>
      </c>
      <c r="K612" s="72">
        <v>80</v>
      </c>
      <c r="L612" s="72">
        <f t="shared" si="26"/>
        <v>33121.135999999999</v>
      </c>
      <c r="M612" s="19"/>
      <c r="N612" s="19">
        <v>66242.27</v>
      </c>
      <c r="O612" s="19">
        <f t="shared" si="27"/>
        <v>33121.135999999999</v>
      </c>
      <c r="P612" s="6"/>
      <c r="Q612" s="8" t="s">
        <v>2826</v>
      </c>
      <c r="R612" s="61"/>
    </row>
    <row r="613" spans="1:18" s="44" customFormat="1" ht="25.5" customHeight="1" outlineLevel="2" x14ac:dyDescent="0.25">
      <c r="A613" s="6" t="s">
        <v>12</v>
      </c>
      <c r="B613" s="8" t="s">
        <v>1315</v>
      </c>
      <c r="C613" s="8" t="s">
        <v>39</v>
      </c>
      <c r="D613" s="8" t="s">
        <v>1431</v>
      </c>
      <c r="E613" s="8" t="s">
        <v>1949</v>
      </c>
      <c r="F613" s="8" t="s">
        <v>28</v>
      </c>
      <c r="G613" s="8" t="s">
        <v>1432</v>
      </c>
      <c r="H613" s="6" t="s">
        <v>19</v>
      </c>
      <c r="I613" s="19">
        <v>3097220.74</v>
      </c>
      <c r="J613" s="19">
        <v>2477776.59</v>
      </c>
      <c r="K613" s="72">
        <v>80</v>
      </c>
      <c r="L613" s="72">
        <f t="shared" si="26"/>
        <v>1238888.2960000001</v>
      </c>
      <c r="M613" s="19"/>
      <c r="N613" s="19">
        <v>2477776.59</v>
      </c>
      <c r="O613" s="19">
        <f t="shared" si="27"/>
        <v>1238888.2960000001</v>
      </c>
      <c r="P613" s="6"/>
      <c r="Q613" s="8" t="s">
        <v>2826</v>
      </c>
      <c r="R613" s="61"/>
    </row>
    <row r="614" spans="1:18" s="44" customFormat="1" ht="25.5" customHeight="1" outlineLevel="2" x14ac:dyDescent="0.25">
      <c r="A614" s="6" t="s">
        <v>12</v>
      </c>
      <c r="B614" s="8" t="s">
        <v>1315</v>
      </c>
      <c r="C614" s="8" t="s">
        <v>39</v>
      </c>
      <c r="D614" s="8" t="s">
        <v>1433</v>
      </c>
      <c r="E614" s="8" t="s">
        <v>1949</v>
      </c>
      <c r="F614" s="8" t="s">
        <v>28</v>
      </c>
      <c r="G614" s="8" t="s">
        <v>1201</v>
      </c>
      <c r="H614" s="6" t="s">
        <v>19</v>
      </c>
      <c r="I614" s="19">
        <v>25920000</v>
      </c>
      <c r="J614" s="19">
        <v>20736000</v>
      </c>
      <c r="K614" s="72">
        <v>80</v>
      </c>
      <c r="L614" s="72">
        <f t="shared" ref="L614:L634" si="28">I614*40%</f>
        <v>10368000</v>
      </c>
      <c r="M614" s="19"/>
      <c r="N614" s="19">
        <v>20736000</v>
      </c>
      <c r="O614" s="19">
        <f t="shared" si="27"/>
        <v>10368000</v>
      </c>
      <c r="P614" s="6"/>
      <c r="Q614" s="8" t="s">
        <v>2826</v>
      </c>
      <c r="R614" s="61"/>
    </row>
    <row r="615" spans="1:18" s="44" customFormat="1" ht="38.25" customHeight="1" outlineLevel="2" x14ac:dyDescent="0.25">
      <c r="A615" s="6" t="s">
        <v>12</v>
      </c>
      <c r="B615" s="8" t="s">
        <v>1315</v>
      </c>
      <c r="C615" s="8" t="s">
        <v>39</v>
      </c>
      <c r="D615" s="8" t="s">
        <v>1434</v>
      </c>
      <c r="E615" s="8" t="s">
        <v>1949</v>
      </c>
      <c r="F615" s="8" t="s">
        <v>28</v>
      </c>
      <c r="G615" s="8" t="s">
        <v>1435</v>
      </c>
      <c r="H615" s="6" t="s">
        <v>19</v>
      </c>
      <c r="I615" s="19">
        <v>70146</v>
      </c>
      <c r="J615" s="19">
        <v>56116.800000000003</v>
      </c>
      <c r="K615" s="72">
        <v>80</v>
      </c>
      <c r="L615" s="72">
        <f t="shared" si="28"/>
        <v>28058.400000000001</v>
      </c>
      <c r="M615" s="19"/>
      <c r="N615" s="19">
        <v>56116.800000000003</v>
      </c>
      <c r="O615" s="19">
        <f t="shared" si="27"/>
        <v>28058.400000000001</v>
      </c>
      <c r="P615" s="6"/>
      <c r="Q615" s="8" t="s">
        <v>2851</v>
      </c>
      <c r="R615" s="61"/>
    </row>
    <row r="616" spans="1:18" s="44" customFormat="1" ht="38.25" customHeight="1" outlineLevel="2" x14ac:dyDescent="0.25">
      <c r="A616" s="6" t="s">
        <v>12</v>
      </c>
      <c r="B616" s="8" t="s">
        <v>1315</v>
      </c>
      <c r="C616" s="8" t="s">
        <v>39</v>
      </c>
      <c r="D616" s="8" t="s">
        <v>1436</v>
      </c>
      <c r="E616" s="8" t="s">
        <v>1949</v>
      </c>
      <c r="F616" s="8" t="s">
        <v>28</v>
      </c>
      <c r="G616" s="8" t="s">
        <v>1437</v>
      </c>
      <c r="H616" s="6" t="s">
        <v>19</v>
      </c>
      <c r="I616" s="19">
        <v>1490580</v>
      </c>
      <c r="J616" s="19">
        <v>1192464</v>
      </c>
      <c r="K616" s="72">
        <v>80</v>
      </c>
      <c r="L616" s="72">
        <f t="shared" si="28"/>
        <v>596232</v>
      </c>
      <c r="M616" s="19"/>
      <c r="N616" s="19">
        <v>1192464</v>
      </c>
      <c r="O616" s="19">
        <f t="shared" si="27"/>
        <v>596232</v>
      </c>
      <c r="P616" s="6"/>
      <c r="Q616" s="8" t="s">
        <v>2851</v>
      </c>
      <c r="R616" s="61"/>
    </row>
    <row r="617" spans="1:18" s="44" customFormat="1" ht="25.5" customHeight="1" outlineLevel="2" x14ac:dyDescent="0.25">
      <c r="A617" s="6" t="s">
        <v>12</v>
      </c>
      <c r="B617" s="8" t="s">
        <v>1315</v>
      </c>
      <c r="C617" s="8" t="s">
        <v>39</v>
      </c>
      <c r="D617" s="8" t="s">
        <v>1438</v>
      </c>
      <c r="E617" s="8" t="s">
        <v>1949</v>
      </c>
      <c r="F617" s="8" t="s">
        <v>28</v>
      </c>
      <c r="G617" s="8" t="s">
        <v>1439</v>
      </c>
      <c r="H617" s="6" t="s">
        <v>19</v>
      </c>
      <c r="I617" s="19">
        <v>399129.98</v>
      </c>
      <c r="J617" s="19">
        <v>319303.98</v>
      </c>
      <c r="K617" s="72">
        <v>80</v>
      </c>
      <c r="L617" s="72">
        <f t="shared" si="28"/>
        <v>159651.992</v>
      </c>
      <c r="M617" s="19"/>
      <c r="N617" s="19">
        <v>319303.98</v>
      </c>
      <c r="O617" s="19">
        <f t="shared" si="27"/>
        <v>159651.992</v>
      </c>
      <c r="P617" s="6"/>
      <c r="Q617" s="8"/>
      <c r="R617" s="61"/>
    </row>
    <row r="618" spans="1:18" s="44" customFormat="1" ht="25.5" customHeight="1" outlineLevel="2" x14ac:dyDescent="0.25">
      <c r="A618" s="6" t="s">
        <v>12</v>
      </c>
      <c r="B618" s="8" t="s">
        <v>1315</v>
      </c>
      <c r="C618" s="8" t="s">
        <v>39</v>
      </c>
      <c r="D618" s="8" t="s">
        <v>1440</v>
      </c>
      <c r="E618" s="8" t="s">
        <v>1949</v>
      </c>
      <c r="F618" s="8" t="s">
        <v>28</v>
      </c>
      <c r="G618" s="8" t="s">
        <v>1441</v>
      </c>
      <c r="H618" s="6" t="s">
        <v>19</v>
      </c>
      <c r="I618" s="19">
        <v>2237169</v>
      </c>
      <c r="J618" s="19">
        <v>1789735.2</v>
      </c>
      <c r="K618" s="72">
        <v>80</v>
      </c>
      <c r="L618" s="72">
        <f t="shared" si="28"/>
        <v>894867.60000000009</v>
      </c>
      <c r="M618" s="19"/>
      <c r="N618" s="19">
        <v>1789735.2</v>
      </c>
      <c r="O618" s="19">
        <f t="shared" si="27"/>
        <v>894867.60000000009</v>
      </c>
      <c r="P618" s="6"/>
      <c r="Q618" s="8"/>
      <c r="R618" s="61"/>
    </row>
    <row r="619" spans="1:18" s="44" customFormat="1" ht="25.5" customHeight="1" outlineLevel="2" x14ac:dyDescent="0.25">
      <c r="A619" s="6" t="s">
        <v>12</v>
      </c>
      <c r="B619" s="8" t="s">
        <v>1315</v>
      </c>
      <c r="C619" s="8" t="s">
        <v>39</v>
      </c>
      <c r="D619" s="8" t="s">
        <v>1442</v>
      </c>
      <c r="E619" s="8" t="s">
        <v>1949</v>
      </c>
      <c r="F619" s="8" t="s">
        <v>28</v>
      </c>
      <c r="G619" s="8" t="s">
        <v>1443</v>
      </c>
      <c r="H619" s="6" t="s">
        <v>19</v>
      </c>
      <c r="I619" s="19">
        <v>947097.49</v>
      </c>
      <c r="J619" s="19">
        <v>757677.99</v>
      </c>
      <c r="K619" s="72">
        <v>80</v>
      </c>
      <c r="L619" s="72">
        <f t="shared" si="28"/>
        <v>378838.99600000004</v>
      </c>
      <c r="M619" s="19"/>
      <c r="N619" s="19">
        <v>757677.99</v>
      </c>
      <c r="O619" s="19">
        <f t="shared" si="27"/>
        <v>378838.99600000004</v>
      </c>
      <c r="P619" s="6"/>
      <c r="Q619" s="8" t="s">
        <v>2852</v>
      </c>
      <c r="R619" s="61"/>
    </row>
    <row r="620" spans="1:18" s="44" customFormat="1" ht="38.25" customHeight="1" outlineLevel="2" x14ac:dyDescent="0.25">
      <c r="A620" s="6" t="s">
        <v>12</v>
      </c>
      <c r="B620" s="8" t="s">
        <v>1315</v>
      </c>
      <c r="C620" s="8" t="s">
        <v>39</v>
      </c>
      <c r="D620" s="8" t="s">
        <v>1444</v>
      </c>
      <c r="E620" s="8" t="s">
        <v>1949</v>
      </c>
      <c r="F620" s="8" t="s">
        <v>28</v>
      </c>
      <c r="G620" s="8" t="s">
        <v>1445</v>
      </c>
      <c r="H620" s="6" t="s">
        <v>19</v>
      </c>
      <c r="I620" s="19">
        <v>17403120</v>
      </c>
      <c r="J620" s="19">
        <v>13922496</v>
      </c>
      <c r="K620" s="72">
        <v>80</v>
      </c>
      <c r="L620" s="72">
        <f t="shared" si="28"/>
        <v>6961248</v>
      </c>
      <c r="M620" s="19"/>
      <c r="N620" s="19">
        <v>13922496</v>
      </c>
      <c r="O620" s="19">
        <f t="shared" si="27"/>
        <v>6961248</v>
      </c>
      <c r="P620" s="6"/>
      <c r="Q620" s="8" t="s">
        <v>2853</v>
      </c>
      <c r="R620" s="61"/>
    </row>
    <row r="621" spans="1:18" s="44" customFormat="1" ht="51" customHeight="1" outlineLevel="2" x14ac:dyDescent="0.25">
      <c r="A621" s="6" t="s">
        <v>12</v>
      </c>
      <c r="B621" s="8" t="s">
        <v>1315</v>
      </c>
      <c r="C621" s="8" t="s">
        <v>39</v>
      </c>
      <c r="D621" s="8" t="s">
        <v>1446</v>
      </c>
      <c r="E621" s="8" t="s">
        <v>1949</v>
      </c>
      <c r="F621" s="8" t="s">
        <v>28</v>
      </c>
      <c r="G621" s="8" t="s">
        <v>1447</v>
      </c>
      <c r="H621" s="6" t="s">
        <v>19</v>
      </c>
      <c r="I621" s="19">
        <v>1980363.6</v>
      </c>
      <c r="J621" s="19">
        <v>1584290.88</v>
      </c>
      <c r="K621" s="72">
        <v>80</v>
      </c>
      <c r="L621" s="72">
        <f t="shared" si="28"/>
        <v>792145.44000000006</v>
      </c>
      <c r="M621" s="19"/>
      <c r="N621" s="19">
        <v>1584290.88</v>
      </c>
      <c r="O621" s="19">
        <f t="shared" si="27"/>
        <v>792145.44000000006</v>
      </c>
      <c r="P621" s="6"/>
      <c r="Q621" s="8" t="s">
        <v>2854</v>
      </c>
      <c r="R621" s="61"/>
    </row>
    <row r="622" spans="1:18" s="44" customFormat="1" ht="38.25" customHeight="1" outlineLevel="2" x14ac:dyDescent="0.25">
      <c r="A622" s="6" t="s">
        <v>12</v>
      </c>
      <c r="B622" s="8" t="s">
        <v>1315</v>
      </c>
      <c r="C622" s="8" t="s">
        <v>39</v>
      </c>
      <c r="D622" s="8" t="s">
        <v>1448</v>
      </c>
      <c r="E622" s="8" t="s">
        <v>1949</v>
      </c>
      <c r="F622" s="8" t="s">
        <v>28</v>
      </c>
      <c r="G622" s="8" t="s">
        <v>1449</v>
      </c>
      <c r="H622" s="6" t="s">
        <v>19</v>
      </c>
      <c r="I622" s="19">
        <v>1482650.81</v>
      </c>
      <c r="J622" s="19">
        <v>1186120.6499999999</v>
      </c>
      <c r="K622" s="72">
        <v>80</v>
      </c>
      <c r="L622" s="72">
        <f t="shared" si="28"/>
        <v>593060.32400000002</v>
      </c>
      <c r="M622" s="19"/>
      <c r="N622" s="19">
        <v>1186120.6499999999</v>
      </c>
      <c r="O622" s="19">
        <f t="shared" si="27"/>
        <v>593060.32400000002</v>
      </c>
      <c r="P622" s="6"/>
      <c r="Q622" s="8" t="s">
        <v>2826</v>
      </c>
      <c r="R622" s="61"/>
    </row>
    <row r="623" spans="1:18" s="44" customFormat="1" ht="25.5" customHeight="1" outlineLevel="2" x14ac:dyDescent="0.25">
      <c r="A623" s="6" t="s">
        <v>12</v>
      </c>
      <c r="B623" s="8" t="s">
        <v>1315</v>
      </c>
      <c r="C623" s="8" t="s">
        <v>39</v>
      </c>
      <c r="D623" s="8" t="s">
        <v>1450</v>
      </c>
      <c r="E623" s="8" t="s">
        <v>1949</v>
      </c>
      <c r="F623" s="8" t="s">
        <v>28</v>
      </c>
      <c r="G623" s="8" t="s">
        <v>1451</v>
      </c>
      <c r="H623" s="6" t="s">
        <v>19</v>
      </c>
      <c r="I623" s="19">
        <v>262984.32000000001</v>
      </c>
      <c r="J623" s="19">
        <v>210387.46</v>
      </c>
      <c r="K623" s="72">
        <v>80</v>
      </c>
      <c r="L623" s="72">
        <f t="shared" si="28"/>
        <v>105193.728</v>
      </c>
      <c r="M623" s="19"/>
      <c r="N623" s="19">
        <v>210387.46</v>
      </c>
      <c r="O623" s="19">
        <f t="shared" si="27"/>
        <v>105193.728</v>
      </c>
      <c r="P623" s="6"/>
      <c r="Q623" s="8" t="s">
        <v>2855</v>
      </c>
      <c r="R623" s="61"/>
    </row>
    <row r="624" spans="1:18" s="44" customFormat="1" ht="33.75" customHeight="1" outlineLevel="2" x14ac:dyDescent="0.25">
      <c r="A624" s="6" t="s">
        <v>12</v>
      </c>
      <c r="B624" s="8" t="s">
        <v>1315</v>
      </c>
      <c r="C624" s="8" t="s">
        <v>39</v>
      </c>
      <c r="D624" s="8" t="s">
        <v>1452</v>
      </c>
      <c r="E624" s="8" t="s">
        <v>1949</v>
      </c>
      <c r="F624" s="8" t="s">
        <v>149</v>
      </c>
      <c r="G624" s="8" t="s">
        <v>1153</v>
      </c>
      <c r="H624" s="6" t="s">
        <v>19</v>
      </c>
      <c r="I624" s="19">
        <v>327456.43</v>
      </c>
      <c r="J624" s="19">
        <v>261965.14</v>
      </c>
      <c r="K624" s="72">
        <v>80</v>
      </c>
      <c r="L624" s="72">
        <f t="shared" si="28"/>
        <v>130982.572</v>
      </c>
      <c r="M624" s="19"/>
      <c r="N624" s="19">
        <v>261965.14</v>
      </c>
      <c r="O624" s="19">
        <f t="shared" si="27"/>
        <v>130982.572</v>
      </c>
      <c r="P624" s="6"/>
      <c r="Q624" s="8" t="s">
        <v>2413</v>
      </c>
      <c r="R624" s="61"/>
    </row>
    <row r="625" spans="1:18" s="44" customFormat="1" ht="38.25" customHeight="1" outlineLevel="2" x14ac:dyDescent="0.25">
      <c r="A625" s="6" t="s">
        <v>12</v>
      </c>
      <c r="B625" s="8" t="s">
        <v>1635</v>
      </c>
      <c r="C625" s="8" t="s">
        <v>39</v>
      </c>
      <c r="D625" s="8" t="s">
        <v>451</v>
      </c>
      <c r="E625" s="8" t="s">
        <v>1949</v>
      </c>
      <c r="F625" s="8" t="s">
        <v>149</v>
      </c>
      <c r="G625" s="8" t="s">
        <v>1636</v>
      </c>
      <c r="H625" s="6" t="s">
        <v>19</v>
      </c>
      <c r="I625" s="19">
        <v>413470.66</v>
      </c>
      <c r="J625" s="19">
        <v>330776.53000000003</v>
      </c>
      <c r="K625" s="72">
        <v>80</v>
      </c>
      <c r="L625" s="72">
        <f t="shared" si="28"/>
        <v>165388.264</v>
      </c>
      <c r="M625" s="19"/>
      <c r="N625" s="19">
        <v>330776.53000000003</v>
      </c>
      <c r="O625" s="19">
        <f t="shared" si="27"/>
        <v>165388.264</v>
      </c>
      <c r="P625" s="74" t="s">
        <v>2636</v>
      </c>
      <c r="Q625" s="8" t="s">
        <v>2412</v>
      </c>
      <c r="R625" s="61"/>
    </row>
    <row r="626" spans="1:18" s="44" customFormat="1" ht="33.75" customHeight="1" outlineLevel="2" x14ac:dyDescent="0.25">
      <c r="A626" s="6" t="s">
        <v>12</v>
      </c>
      <c r="B626" s="8" t="s">
        <v>1702</v>
      </c>
      <c r="C626" s="8" t="s">
        <v>39</v>
      </c>
      <c r="D626" s="8" t="s">
        <v>1704</v>
      </c>
      <c r="E626" s="8" t="s">
        <v>1949</v>
      </c>
      <c r="F626" s="8" t="s">
        <v>149</v>
      </c>
      <c r="G626" s="8" t="s">
        <v>1703</v>
      </c>
      <c r="H626" s="6" t="s">
        <v>19</v>
      </c>
      <c r="I626" s="19">
        <v>271581.71999999997</v>
      </c>
      <c r="J626" s="19">
        <v>217265.38</v>
      </c>
      <c r="K626" s="72">
        <v>80</v>
      </c>
      <c r="L626" s="72">
        <f t="shared" si="28"/>
        <v>108632.68799999999</v>
      </c>
      <c r="M626" s="19"/>
      <c r="N626" s="19">
        <v>217265.38</v>
      </c>
      <c r="O626" s="19">
        <f t="shared" si="27"/>
        <v>108632.68799999999</v>
      </c>
      <c r="P626" s="6">
        <v>45717</v>
      </c>
      <c r="Q626" s="8" t="s">
        <v>2403</v>
      </c>
      <c r="R626" s="61"/>
    </row>
    <row r="627" spans="1:18" s="44" customFormat="1" ht="33.75" customHeight="1" outlineLevel="2" x14ac:dyDescent="0.25">
      <c r="A627" s="6" t="s">
        <v>12</v>
      </c>
      <c r="B627" s="8" t="s">
        <v>1730</v>
      </c>
      <c r="C627" s="8" t="s">
        <v>39</v>
      </c>
      <c r="D627" s="8" t="s">
        <v>487</v>
      </c>
      <c r="E627" s="8" t="s">
        <v>1949</v>
      </c>
      <c r="F627" s="8" t="s">
        <v>149</v>
      </c>
      <c r="G627" s="8" t="s">
        <v>485</v>
      </c>
      <c r="H627" s="6" t="s">
        <v>19</v>
      </c>
      <c r="I627" s="19">
        <v>1940677.92</v>
      </c>
      <c r="J627" s="19">
        <v>1552542.34</v>
      </c>
      <c r="K627" s="72">
        <v>80</v>
      </c>
      <c r="L627" s="72">
        <f t="shared" si="28"/>
        <v>776271.16800000006</v>
      </c>
      <c r="M627" s="19"/>
      <c r="N627" s="19">
        <v>1552542.34</v>
      </c>
      <c r="O627" s="19">
        <f t="shared" si="27"/>
        <v>776271.16800000006</v>
      </c>
      <c r="P627" s="6" t="s">
        <v>2031</v>
      </c>
      <c r="Q627" s="8" t="s">
        <v>2494</v>
      </c>
      <c r="R627" s="61"/>
    </row>
    <row r="628" spans="1:18" s="44" customFormat="1" ht="38.25" customHeight="1" outlineLevel="2" x14ac:dyDescent="0.25">
      <c r="A628" s="6" t="s">
        <v>12</v>
      </c>
      <c r="B628" s="8" t="s">
        <v>1753</v>
      </c>
      <c r="C628" s="8" t="s">
        <v>39</v>
      </c>
      <c r="D628" s="8" t="s">
        <v>1756</v>
      </c>
      <c r="E628" s="8" t="s">
        <v>1949</v>
      </c>
      <c r="F628" s="8" t="s">
        <v>149</v>
      </c>
      <c r="G628" s="8" t="s">
        <v>1754</v>
      </c>
      <c r="H628" s="6" t="s">
        <v>19</v>
      </c>
      <c r="I628" s="19">
        <v>6419147.1100000003</v>
      </c>
      <c r="J628" s="19">
        <v>5135317.6900000004</v>
      </c>
      <c r="K628" s="72">
        <v>80</v>
      </c>
      <c r="L628" s="72">
        <f t="shared" si="28"/>
        <v>2567658.8440000005</v>
      </c>
      <c r="M628" s="19"/>
      <c r="N628" s="19">
        <v>5135317.6900000004</v>
      </c>
      <c r="O628" s="19">
        <f t="shared" si="27"/>
        <v>2567658.8440000005</v>
      </c>
      <c r="P628" s="6" t="s">
        <v>2415</v>
      </c>
      <c r="Q628" s="8" t="s">
        <v>2414</v>
      </c>
      <c r="R628" s="61"/>
    </row>
    <row r="629" spans="1:18" s="44" customFormat="1" ht="25.5" customHeight="1" outlineLevel="2" x14ac:dyDescent="0.25">
      <c r="A629" s="6" t="s">
        <v>12</v>
      </c>
      <c r="B629" s="8" t="s">
        <v>1760</v>
      </c>
      <c r="C629" s="8" t="s">
        <v>39</v>
      </c>
      <c r="D629" s="8" t="s">
        <v>1763</v>
      </c>
      <c r="E629" s="8" t="s">
        <v>1949</v>
      </c>
      <c r="F629" s="8" t="s">
        <v>149</v>
      </c>
      <c r="G629" s="8" t="s">
        <v>560</v>
      </c>
      <c r="H629" s="6" t="s">
        <v>19</v>
      </c>
      <c r="I629" s="19">
        <v>2888923.97</v>
      </c>
      <c r="J629" s="80">
        <v>2311139.1800000002</v>
      </c>
      <c r="K629" s="72">
        <v>80</v>
      </c>
      <c r="L629" s="80">
        <f t="shared" si="28"/>
        <v>1155569.5880000002</v>
      </c>
      <c r="M629" s="80"/>
      <c r="N629" s="80">
        <v>2311139.1800000002</v>
      </c>
      <c r="O629" s="19">
        <f t="shared" si="27"/>
        <v>1155569.5880000002</v>
      </c>
      <c r="P629" s="6" t="s">
        <v>2031</v>
      </c>
      <c r="Q629" s="8" t="s">
        <v>2403</v>
      </c>
      <c r="R629" s="61"/>
    </row>
    <row r="630" spans="1:18" s="44" customFormat="1" ht="33.75" customHeight="1" outlineLevel="2" x14ac:dyDescent="0.25">
      <c r="A630" s="6" t="s">
        <v>12</v>
      </c>
      <c r="B630" s="8" t="s">
        <v>1782</v>
      </c>
      <c r="C630" s="8" t="s">
        <v>39</v>
      </c>
      <c r="D630" s="8" t="s">
        <v>1783</v>
      </c>
      <c r="E630" s="8" t="s">
        <v>1949</v>
      </c>
      <c r="F630" s="8" t="s">
        <v>28</v>
      </c>
      <c r="G630" s="8" t="s">
        <v>1784</v>
      </c>
      <c r="H630" s="6" t="s">
        <v>19</v>
      </c>
      <c r="I630" s="19">
        <v>44833.5</v>
      </c>
      <c r="J630" s="19">
        <v>35866.800000000003</v>
      </c>
      <c r="K630" s="72">
        <v>80</v>
      </c>
      <c r="L630" s="72">
        <f t="shared" si="28"/>
        <v>17933.400000000001</v>
      </c>
      <c r="M630" s="19"/>
      <c r="N630" s="19">
        <v>35866.800000000003</v>
      </c>
      <c r="O630" s="19">
        <f t="shared" si="27"/>
        <v>17933.400000000001</v>
      </c>
      <c r="P630" s="6" t="s">
        <v>2636</v>
      </c>
      <c r="Q630" s="8" t="s">
        <v>2412</v>
      </c>
      <c r="R630" s="61"/>
    </row>
    <row r="631" spans="1:18" s="44" customFormat="1" ht="33.75" customHeight="1" outlineLevel="2" x14ac:dyDescent="0.25">
      <c r="A631" s="6" t="s">
        <v>12</v>
      </c>
      <c r="B631" s="8" t="s">
        <v>1787</v>
      </c>
      <c r="C631" s="8" t="s">
        <v>39</v>
      </c>
      <c r="D631" s="8" t="s">
        <v>1121</v>
      </c>
      <c r="E631" s="8" t="s">
        <v>1949</v>
      </c>
      <c r="F631" s="8" t="s">
        <v>149</v>
      </c>
      <c r="G631" s="8" t="s">
        <v>1120</v>
      </c>
      <c r="H631" s="6" t="s">
        <v>19</v>
      </c>
      <c r="I631" s="19">
        <v>1715418.97</v>
      </c>
      <c r="J631" s="19">
        <v>1372335.18</v>
      </c>
      <c r="K631" s="72">
        <v>80</v>
      </c>
      <c r="L631" s="72">
        <f t="shared" si="28"/>
        <v>686167.58799999999</v>
      </c>
      <c r="M631" s="19"/>
      <c r="N631" s="19">
        <v>1372335.18</v>
      </c>
      <c r="O631" s="19">
        <f t="shared" si="27"/>
        <v>686167.58799999999</v>
      </c>
      <c r="P631" s="6" t="s">
        <v>2489</v>
      </c>
      <c r="Q631" s="8" t="s">
        <v>2805</v>
      </c>
      <c r="R631" s="61"/>
    </row>
    <row r="632" spans="1:18" s="44" customFormat="1" ht="33.75" customHeight="1" outlineLevel="2" x14ac:dyDescent="0.25">
      <c r="A632" s="6" t="s">
        <v>12</v>
      </c>
      <c r="B632" s="8" t="s">
        <v>1794</v>
      </c>
      <c r="C632" s="8" t="s">
        <v>39</v>
      </c>
      <c r="D632" s="8" t="s">
        <v>1797</v>
      </c>
      <c r="E632" s="8" t="s">
        <v>1949</v>
      </c>
      <c r="F632" s="8" t="s">
        <v>149</v>
      </c>
      <c r="G632" s="8" t="s">
        <v>774</v>
      </c>
      <c r="H632" s="6" t="s">
        <v>19</v>
      </c>
      <c r="I632" s="19">
        <v>691675.2</v>
      </c>
      <c r="J632" s="19">
        <v>553340.16000000003</v>
      </c>
      <c r="K632" s="72">
        <v>80</v>
      </c>
      <c r="L632" s="72">
        <f t="shared" si="28"/>
        <v>276670.08000000002</v>
      </c>
      <c r="M632" s="19"/>
      <c r="N632" s="19">
        <v>553340.16000000003</v>
      </c>
      <c r="O632" s="19">
        <f t="shared" si="27"/>
        <v>276670.08000000002</v>
      </c>
      <c r="P632" s="6" t="s">
        <v>2489</v>
      </c>
      <c r="Q632" s="8" t="s">
        <v>2805</v>
      </c>
      <c r="R632" s="61"/>
    </row>
    <row r="633" spans="1:18" s="44" customFormat="1" ht="33.75" customHeight="1" outlineLevel="2" x14ac:dyDescent="0.25">
      <c r="A633" s="6" t="s">
        <v>12</v>
      </c>
      <c r="B633" s="8" t="s">
        <v>1806</v>
      </c>
      <c r="C633" s="8" t="s">
        <v>39</v>
      </c>
      <c r="D633" s="8" t="s">
        <v>1808</v>
      </c>
      <c r="E633" s="8" t="s">
        <v>1949</v>
      </c>
      <c r="F633" s="8" t="s">
        <v>149</v>
      </c>
      <c r="G633" s="8" t="s">
        <v>1807</v>
      </c>
      <c r="H633" s="6" t="s">
        <v>19</v>
      </c>
      <c r="I633" s="19">
        <v>729098.18</v>
      </c>
      <c r="J633" s="19">
        <v>583278.54</v>
      </c>
      <c r="K633" s="72">
        <v>80</v>
      </c>
      <c r="L633" s="72">
        <f t="shared" si="28"/>
        <v>291639.27200000006</v>
      </c>
      <c r="M633" s="19"/>
      <c r="N633" s="19">
        <v>583278.54</v>
      </c>
      <c r="O633" s="19">
        <f t="shared" si="27"/>
        <v>291639.27200000006</v>
      </c>
      <c r="P633" s="6"/>
      <c r="Q633" s="8" t="s">
        <v>2826</v>
      </c>
      <c r="R633" s="61"/>
    </row>
    <row r="634" spans="1:18" s="44" customFormat="1" ht="33.75" customHeight="1" outlineLevel="2" x14ac:dyDescent="0.25">
      <c r="A634" s="6" t="s">
        <v>12</v>
      </c>
      <c r="B634" s="8" t="s">
        <v>1930</v>
      </c>
      <c r="C634" s="8" t="s">
        <v>39</v>
      </c>
      <c r="D634" s="8" t="s">
        <v>1411</v>
      </c>
      <c r="E634" s="8" t="s">
        <v>1949</v>
      </c>
      <c r="F634" s="8" t="s">
        <v>149</v>
      </c>
      <c r="G634" s="8" t="s">
        <v>804</v>
      </c>
      <c r="H634" s="6" t="s">
        <v>19</v>
      </c>
      <c r="I634" s="19">
        <v>10707929.310000001</v>
      </c>
      <c r="J634" s="19">
        <v>8566343.4499999993</v>
      </c>
      <c r="K634" s="72">
        <v>80</v>
      </c>
      <c r="L634" s="72">
        <f t="shared" si="28"/>
        <v>4283171.7240000004</v>
      </c>
      <c r="M634" s="19"/>
      <c r="N634" s="19">
        <v>8566343.4499999993</v>
      </c>
      <c r="O634" s="19">
        <f t="shared" si="27"/>
        <v>4283171.7240000004</v>
      </c>
      <c r="P634" s="6" t="s">
        <v>2644</v>
      </c>
      <c r="Q634" s="8" t="s">
        <v>2645</v>
      </c>
      <c r="R634" s="61"/>
    </row>
    <row r="635" spans="1:18" s="44" customFormat="1" ht="15.75" customHeight="1" outlineLevel="1" x14ac:dyDescent="0.25">
      <c r="A635" s="158"/>
      <c r="B635" s="159"/>
      <c r="C635" s="152" t="s">
        <v>1946</v>
      </c>
      <c r="D635" s="8"/>
      <c r="E635" s="159"/>
      <c r="F635" s="8"/>
      <c r="G635" s="159"/>
      <c r="H635" s="6"/>
      <c r="I635" s="28">
        <f>SUBTOTAL(9,I533:I633)</f>
        <v>447503474.62000018</v>
      </c>
      <c r="J635" s="28">
        <f>SUBTOTAL(9,J533:J634)</f>
        <v>394067508.338</v>
      </c>
      <c r="K635" s="28">
        <f>SUBTOTAL(9,K533:K633)</f>
        <v>8260</v>
      </c>
      <c r="L635" s="160">
        <f t="shared" ref="L635:Q635" si="29">SUBTOTAL(9,L533:L634)</f>
        <v>247521446.454</v>
      </c>
      <c r="M635" s="160">
        <f t="shared" si="29"/>
        <v>943890.02</v>
      </c>
      <c r="N635" s="28">
        <f t="shared" si="29"/>
        <v>391117051.72999996</v>
      </c>
      <c r="O635" s="160">
        <f t="shared" si="29"/>
        <v>247143890.44600004</v>
      </c>
      <c r="P635" s="160">
        <f t="shared" si="29"/>
        <v>319255</v>
      </c>
      <c r="Q635" s="160">
        <f t="shared" si="29"/>
        <v>0</v>
      </c>
      <c r="R635" s="61"/>
    </row>
    <row r="636" spans="1:18" s="44" customFormat="1" ht="45" customHeight="1" outlineLevel="2" x14ac:dyDescent="0.25">
      <c r="A636" s="6" t="s">
        <v>12</v>
      </c>
      <c r="B636" s="8" t="s">
        <v>1085</v>
      </c>
      <c r="C636" s="8" t="s">
        <v>14</v>
      </c>
      <c r="D636" s="8" t="s">
        <v>1087</v>
      </c>
      <c r="E636" s="8" t="s">
        <v>29</v>
      </c>
      <c r="F636" s="8" t="s">
        <v>27</v>
      </c>
      <c r="G636" s="8" t="s">
        <v>1086</v>
      </c>
      <c r="H636" s="6" t="s">
        <v>19</v>
      </c>
      <c r="I636" s="19">
        <v>1917384</v>
      </c>
      <c r="J636" s="19">
        <v>1533907.2</v>
      </c>
      <c r="K636" s="72">
        <v>80</v>
      </c>
      <c r="L636" s="72">
        <v>766953.60000000009</v>
      </c>
      <c r="M636" s="19">
        <v>766953.6</v>
      </c>
      <c r="N636" s="19">
        <v>766953.6</v>
      </c>
      <c r="O636" s="19">
        <f t="shared" ref="O636:O679" si="30">L636-M636</f>
        <v>0</v>
      </c>
      <c r="P636" s="6"/>
      <c r="Q636" s="8" t="s">
        <v>2707</v>
      </c>
      <c r="R636" s="61"/>
    </row>
    <row r="637" spans="1:18" s="44" customFormat="1" ht="33.75" customHeight="1" outlineLevel="2" x14ac:dyDescent="0.25">
      <c r="A637" s="6" t="s">
        <v>12</v>
      </c>
      <c r="B637" s="8" t="s">
        <v>1129</v>
      </c>
      <c r="C637" s="8" t="s">
        <v>14</v>
      </c>
      <c r="D637" s="8" t="s">
        <v>1133</v>
      </c>
      <c r="E637" s="8" t="s">
        <v>29</v>
      </c>
      <c r="F637" s="8" t="s">
        <v>411</v>
      </c>
      <c r="G637" s="8" t="s">
        <v>1130</v>
      </c>
      <c r="H637" s="6" t="s">
        <v>19</v>
      </c>
      <c r="I637" s="19">
        <v>77400</v>
      </c>
      <c r="J637" s="19">
        <v>77400</v>
      </c>
      <c r="K637" s="72">
        <v>100</v>
      </c>
      <c r="L637" s="72">
        <f>J637</f>
        <v>77400</v>
      </c>
      <c r="M637" s="19">
        <v>77400</v>
      </c>
      <c r="N637" s="19">
        <v>77400</v>
      </c>
      <c r="O637" s="19">
        <f t="shared" si="30"/>
        <v>0</v>
      </c>
      <c r="P637" s="6"/>
      <c r="Q637" s="8" t="s">
        <v>2708</v>
      </c>
      <c r="R637" s="61"/>
    </row>
    <row r="638" spans="1:18" s="44" customFormat="1" ht="48" customHeight="1" outlineLevel="2" x14ac:dyDescent="0.25">
      <c r="A638" s="6" t="s">
        <v>12</v>
      </c>
      <c r="B638" s="8" t="s">
        <v>1868</v>
      </c>
      <c r="C638" s="8" t="s">
        <v>14</v>
      </c>
      <c r="D638" s="8" t="s">
        <v>1870</v>
      </c>
      <c r="E638" s="8" t="s">
        <v>29</v>
      </c>
      <c r="F638" s="8" t="s">
        <v>27</v>
      </c>
      <c r="G638" s="8" t="s">
        <v>1869</v>
      </c>
      <c r="H638" s="6" t="s">
        <v>19</v>
      </c>
      <c r="I638" s="19">
        <v>74034</v>
      </c>
      <c r="J638" s="19">
        <v>59227.199999999997</v>
      </c>
      <c r="K638" s="72">
        <v>80</v>
      </c>
      <c r="L638" s="72">
        <v>29613.600000000002</v>
      </c>
      <c r="M638" s="19"/>
      <c r="N638" s="19">
        <v>59227.199999999997</v>
      </c>
      <c r="O638" s="19">
        <f t="shared" si="30"/>
        <v>29613.600000000002</v>
      </c>
      <c r="P638" s="6"/>
      <c r="Q638" s="8" t="s">
        <v>2777</v>
      </c>
      <c r="R638" s="61"/>
    </row>
    <row r="639" spans="1:18" s="44" customFormat="1" ht="45" customHeight="1" outlineLevel="2" x14ac:dyDescent="0.25">
      <c r="A639" s="6" t="s">
        <v>12</v>
      </c>
      <c r="B639" s="8" t="s">
        <v>13</v>
      </c>
      <c r="C639" s="8" t="s">
        <v>14</v>
      </c>
      <c r="D639" s="8" t="s">
        <v>15</v>
      </c>
      <c r="E639" s="8" t="s">
        <v>1949</v>
      </c>
      <c r="F639" s="8" t="s">
        <v>16</v>
      </c>
      <c r="G639" s="8" t="s">
        <v>18</v>
      </c>
      <c r="H639" s="6" t="s">
        <v>19</v>
      </c>
      <c r="I639" s="19">
        <v>6588361.3600000003</v>
      </c>
      <c r="J639" s="19">
        <v>6588361.3600000003</v>
      </c>
      <c r="K639" s="72">
        <v>100</v>
      </c>
      <c r="L639" s="72">
        <v>2635344.5440000002</v>
      </c>
      <c r="M639" s="19"/>
      <c r="N639" s="19">
        <v>6588361.3600000003</v>
      </c>
      <c r="O639" s="19">
        <f t="shared" si="30"/>
        <v>2635344.5440000002</v>
      </c>
      <c r="P639" s="6"/>
      <c r="Q639" s="8" t="s">
        <v>2709</v>
      </c>
      <c r="R639" s="61"/>
    </row>
    <row r="640" spans="1:18" s="44" customFormat="1" ht="45" customHeight="1" outlineLevel="2" x14ac:dyDescent="0.25">
      <c r="A640" s="6" t="s">
        <v>12</v>
      </c>
      <c r="B640" s="8" t="s">
        <v>223</v>
      </c>
      <c r="C640" s="8" t="s">
        <v>14</v>
      </c>
      <c r="D640" s="8" t="s">
        <v>227</v>
      </c>
      <c r="E640" s="8" t="s">
        <v>1949</v>
      </c>
      <c r="F640" s="8" t="s">
        <v>16</v>
      </c>
      <c r="G640" s="8" t="s">
        <v>18</v>
      </c>
      <c r="H640" s="6" t="s">
        <v>19</v>
      </c>
      <c r="I640" s="19">
        <v>23681805.170000002</v>
      </c>
      <c r="J640" s="19">
        <v>23681805.170000002</v>
      </c>
      <c r="K640" s="72">
        <v>100</v>
      </c>
      <c r="L640" s="72">
        <v>9472722.0680000018</v>
      </c>
      <c r="M640" s="19"/>
      <c r="N640" s="19">
        <v>23681805.170000002</v>
      </c>
      <c r="O640" s="19">
        <f t="shared" si="30"/>
        <v>9472722.0680000018</v>
      </c>
      <c r="P640" s="6"/>
      <c r="Q640" s="8" t="s">
        <v>2710</v>
      </c>
      <c r="R640" s="61"/>
    </row>
    <row r="641" spans="1:18" s="53" customFormat="1" ht="45" customHeight="1" outlineLevel="2" x14ac:dyDescent="0.25">
      <c r="A641" s="6" t="s">
        <v>12</v>
      </c>
      <c r="B641" s="8" t="s">
        <v>333</v>
      </c>
      <c r="C641" s="8" t="s">
        <v>14</v>
      </c>
      <c r="D641" s="8" t="s">
        <v>335</v>
      </c>
      <c r="E641" s="8" t="s">
        <v>1949</v>
      </c>
      <c r="F641" s="8" t="s">
        <v>16</v>
      </c>
      <c r="G641" s="8" t="s">
        <v>18</v>
      </c>
      <c r="H641" s="6" t="s">
        <v>19</v>
      </c>
      <c r="I641" s="19">
        <v>124737744.13</v>
      </c>
      <c r="J641" s="19">
        <v>12473774.130000001</v>
      </c>
      <c r="K641" s="72">
        <v>100</v>
      </c>
      <c r="L641" s="72">
        <v>49895097.652000003</v>
      </c>
      <c r="M641" s="19"/>
      <c r="N641" s="19">
        <v>12473774.130000001</v>
      </c>
      <c r="O641" s="19">
        <f t="shared" si="30"/>
        <v>49895097.652000003</v>
      </c>
      <c r="P641" s="6"/>
      <c r="Q641" s="8" t="s">
        <v>2711</v>
      </c>
      <c r="R641" s="144"/>
    </row>
    <row r="642" spans="1:18" s="53" customFormat="1" ht="45" customHeight="1" outlineLevel="2" x14ac:dyDescent="0.25">
      <c r="A642" s="6" t="s">
        <v>12</v>
      </c>
      <c r="B642" s="8" t="s">
        <v>1102</v>
      </c>
      <c r="C642" s="8" t="s">
        <v>14</v>
      </c>
      <c r="D642" s="8" t="s">
        <v>1104</v>
      </c>
      <c r="E642" s="8" t="s">
        <v>1949</v>
      </c>
      <c r="F642" s="8" t="s">
        <v>16</v>
      </c>
      <c r="G642" s="8" t="s">
        <v>18</v>
      </c>
      <c r="H642" s="6" t="s">
        <v>19</v>
      </c>
      <c r="I642" s="19">
        <v>193899742.25999999</v>
      </c>
      <c r="J642" s="19">
        <v>123899742.26000001</v>
      </c>
      <c r="K642" s="72">
        <v>100</v>
      </c>
      <c r="L642" s="72">
        <v>77559896.903999999</v>
      </c>
      <c r="M642" s="19"/>
      <c r="N642" s="19">
        <v>123899742.26000001</v>
      </c>
      <c r="O642" s="19">
        <f t="shared" si="30"/>
        <v>77559896.903999999</v>
      </c>
      <c r="P642" s="6"/>
      <c r="Q642" s="8" t="s">
        <v>2712</v>
      </c>
      <c r="R642" s="144"/>
    </row>
    <row r="643" spans="1:18" s="53" customFormat="1" ht="45" customHeight="1" outlineLevel="2" x14ac:dyDescent="0.25">
      <c r="A643" s="6" t="s">
        <v>12</v>
      </c>
      <c r="B643" s="8" t="s">
        <v>1280</v>
      </c>
      <c r="C643" s="8" t="s">
        <v>14</v>
      </c>
      <c r="D643" s="8" t="s">
        <v>1283</v>
      </c>
      <c r="E643" s="8" t="s">
        <v>1949</v>
      </c>
      <c r="F643" s="8" t="s">
        <v>16</v>
      </c>
      <c r="G643" s="8" t="s">
        <v>18</v>
      </c>
      <c r="H643" s="6" t="s">
        <v>19</v>
      </c>
      <c r="I643" s="19">
        <v>70907861.170000002</v>
      </c>
      <c r="J643" s="19">
        <v>35265032.780000001</v>
      </c>
      <c r="K643" s="72">
        <v>50</v>
      </c>
      <c r="L643" s="72">
        <v>28363144.468000002</v>
      </c>
      <c r="M643" s="19"/>
      <c r="N643" s="19">
        <v>35265032.780000001</v>
      </c>
      <c r="O643" s="19">
        <f t="shared" si="30"/>
        <v>28363144.468000002</v>
      </c>
      <c r="P643" s="6"/>
      <c r="Q643" s="8" t="s">
        <v>2687</v>
      </c>
      <c r="R643" s="144"/>
    </row>
    <row r="644" spans="1:18" s="44" customFormat="1" ht="22.5" customHeight="1" outlineLevel="2" x14ac:dyDescent="0.25">
      <c r="A644" s="6" t="s">
        <v>12</v>
      </c>
      <c r="B644" s="8" t="s">
        <v>1315</v>
      </c>
      <c r="C644" s="8" t="s">
        <v>14</v>
      </c>
      <c r="D644" s="8" t="s">
        <v>1500</v>
      </c>
      <c r="E644" s="8" t="s">
        <v>1949</v>
      </c>
      <c r="F644" s="8" t="s">
        <v>1501</v>
      </c>
      <c r="G644" s="8" t="s">
        <v>1502</v>
      </c>
      <c r="H644" s="6" t="s">
        <v>19</v>
      </c>
      <c r="I644" s="19">
        <v>31320</v>
      </c>
      <c r="J644" s="19">
        <v>25056</v>
      </c>
      <c r="K644" s="72">
        <v>80</v>
      </c>
      <c r="L644" s="72">
        <v>12528</v>
      </c>
      <c r="M644" s="19"/>
      <c r="N644" s="19">
        <v>25056</v>
      </c>
      <c r="O644" s="19">
        <f t="shared" si="30"/>
        <v>12528</v>
      </c>
      <c r="P644" s="6"/>
      <c r="Q644" s="8" t="s">
        <v>2766</v>
      </c>
      <c r="R644" s="61"/>
    </row>
    <row r="645" spans="1:18" s="44" customFormat="1" ht="22.5" customHeight="1" outlineLevel="2" x14ac:dyDescent="0.25">
      <c r="A645" s="6" t="s">
        <v>12</v>
      </c>
      <c r="B645" s="8" t="s">
        <v>1315</v>
      </c>
      <c r="C645" s="8" t="s">
        <v>14</v>
      </c>
      <c r="D645" s="8" t="s">
        <v>1503</v>
      </c>
      <c r="E645" s="8" t="s">
        <v>1949</v>
      </c>
      <c r="F645" s="8" t="s">
        <v>1501</v>
      </c>
      <c r="G645" s="8" t="s">
        <v>1504</v>
      </c>
      <c r="H645" s="6" t="s">
        <v>19</v>
      </c>
      <c r="I645" s="19">
        <v>15497.99</v>
      </c>
      <c r="J645" s="19">
        <v>12398.39</v>
      </c>
      <c r="K645" s="72">
        <v>80</v>
      </c>
      <c r="L645" s="72">
        <v>6199.1959999999999</v>
      </c>
      <c r="M645" s="19"/>
      <c r="N645" s="19">
        <v>12398.39</v>
      </c>
      <c r="O645" s="19">
        <f t="shared" si="30"/>
        <v>6199.1959999999999</v>
      </c>
      <c r="P645" s="6"/>
      <c r="Q645" s="8" t="s">
        <v>2771</v>
      </c>
      <c r="R645" s="61"/>
    </row>
    <row r="646" spans="1:18" s="44" customFormat="1" ht="45" customHeight="1" outlineLevel="2" x14ac:dyDescent="0.25">
      <c r="A646" s="6" t="s">
        <v>12</v>
      </c>
      <c r="B646" s="8" t="s">
        <v>1315</v>
      </c>
      <c r="C646" s="8" t="s">
        <v>14</v>
      </c>
      <c r="D646" s="8" t="s">
        <v>1522</v>
      </c>
      <c r="E646" s="8" t="s">
        <v>1949</v>
      </c>
      <c r="F646" s="8" t="s">
        <v>1523</v>
      </c>
      <c r="G646" s="8" t="s">
        <v>1524</v>
      </c>
      <c r="H646" s="6" t="s">
        <v>19</v>
      </c>
      <c r="I646" s="19">
        <v>897908.06</v>
      </c>
      <c r="J646" s="19">
        <v>897908.06</v>
      </c>
      <c r="K646" s="72">
        <v>100</v>
      </c>
      <c r="L646" s="72">
        <v>359163.22400000005</v>
      </c>
      <c r="M646" s="19"/>
      <c r="N646" s="19">
        <v>897908.06</v>
      </c>
      <c r="O646" s="19">
        <f t="shared" si="30"/>
        <v>359163.22400000005</v>
      </c>
      <c r="P646" s="6"/>
      <c r="Q646" s="8" t="s">
        <v>1972</v>
      </c>
      <c r="R646" s="61"/>
    </row>
    <row r="647" spans="1:18" s="44" customFormat="1" ht="22.5" customHeight="1" outlineLevel="2" x14ac:dyDescent="0.25">
      <c r="A647" s="6" t="s">
        <v>12</v>
      </c>
      <c r="B647" s="8" t="s">
        <v>1315</v>
      </c>
      <c r="C647" s="8" t="s">
        <v>14</v>
      </c>
      <c r="D647" s="8" t="s">
        <v>1525</v>
      </c>
      <c r="E647" s="8" t="s">
        <v>1949</v>
      </c>
      <c r="F647" s="8" t="s">
        <v>1526</v>
      </c>
      <c r="G647" s="8" t="s">
        <v>1527</v>
      </c>
      <c r="H647" s="6" t="s">
        <v>19</v>
      </c>
      <c r="I647" s="19">
        <v>1680291.17</v>
      </c>
      <c r="J647" s="19">
        <v>1344232.94</v>
      </c>
      <c r="K647" s="72">
        <v>80</v>
      </c>
      <c r="L647" s="72">
        <v>672116.46799999999</v>
      </c>
      <c r="M647" s="19"/>
      <c r="N647" s="19">
        <v>1344232.94</v>
      </c>
      <c r="O647" s="19">
        <f t="shared" si="30"/>
        <v>672116.46799999999</v>
      </c>
      <c r="P647" s="6"/>
      <c r="Q647" s="8" t="s">
        <v>2706</v>
      </c>
      <c r="R647" s="61"/>
    </row>
    <row r="648" spans="1:18" s="44" customFormat="1" ht="22.5" customHeight="1" outlineLevel="2" x14ac:dyDescent="0.25">
      <c r="A648" s="6" t="s">
        <v>12</v>
      </c>
      <c r="B648" s="8" t="s">
        <v>1315</v>
      </c>
      <c r="C648" s="8" t="s">
        <v>14</v>
      </c>
      <c r="D648" s="8" t="s">
        <v>1528</v>
      </c>
      <c r="E648" s="8" t="s">
        <v>1949</v>
      </c>
      <c r="F648" s="8" t="s">
        <v>1529</v>
      </c>
      <c r="G648" s="8" t="s">
        <v>1530</v>
      </c>
      <c r="H648" s="6" t="s">
        <v>19</v>
      </c>
      <c r="I648" s="19">
        <v>204398.98</v>
      </c>
      <c r="J648" s="19">
        <v>204398.98</v>
      </c>
      <c r="K648" s="72">
        <v>100</v>
      </c>
      <c r="L648" s="72">
        <v>81759.592000000004</v>
      </c>
      <c r="M648" s="19"/>
      <c r="N648" s="19">
        <v>204398.98</v>
      </c>
      <c r="O648" s="19">
        <f t="shared" si="30"/>
        <v>81759.592000000004</v>
      </c>
      <c r="P648" s="6"/>
      <c r="Q648" s="8" t="s">
        <v>1970</v>
      </c>
      <c r="R648" s="61"/>
    </row>
    <row r="649" spans="1:18" s="44" customFormat="1" ht="33" customHeight="1" outlineLevel="2" x14ac:dyDescent="0.25">
      <c r="A649" s="6" t="s">
        <v>12</v>
      </c>
      <c r="B649" s="8" t="s">
        <v>1315</v>
      </c>
      <c r="C649" s="8" t="s">
        <v>14</v>
      </c>
      <c r="D649" s="8" t="s">
        <v>1531</v>
      </c>
      <c r="E649" s="8" t="s">
        <v>1949</v>
      </c>
      <c r="F649" s="8" t="s">
        <v>1501</v>
      </c>
      <c r="G649" s="8" t="s">
        <v>1532</v>
      </c>
      <c r="H649" s="6" t="s">
        <v>19</v>
      </c>
      <c r="I649" s="19">
        <v>622435.06999999995</v>
      </c>
      <c r="J649" s="19">
        <v>497948.06</v>
      </c>
      <c r="K649" s="72">
        <v>80</v>
      </c>
      <c r="L649" s="72">
        <v>248974.02799999999</v>
      </c>
      <c r="M649" s="19"/>
      <c r="N649" s="19">
        <v>497948.06</v>
      </c>
      <c r="O649" s="19">
        <f t="shared" si="30"/>
        <v>248974.02799999999</v>
      </c>
      <c r="P649" s="6"/>
      <c r="Q649" s="8" t="s">
        <v>2769</v>
      </c>
      <c r="R649" s="61"/>
    </row>
    <row r="650" spans="1:18" s="44" customFormat="1" ht="30.75" customHeight="1" outlineLevel="2" x14ac:dyDescent="0.25">
      <c r="A650" s="6" t="s">
        <v>12</v>
      </c>
      <c r="B650" s="8" t="s">
        <v>1315</v>
      </c>
      <c r="C650" s="8" t="s">
        <v>14</v>
      </c>
      <c r="D650" s="8" t="s">
        <v>1533</v>
      </c>
      <c r="E650" s="8" t="s">
        <v>1949</v>
      </c>
      <c r="F650" s="8" t="s">
        <v>16</v>
      </c>
      <c r="G650" s="8" t="s">
        <v>901</v>
      </c>
      <c r="H650" s="6" t="s">
        <v>19</v>
      </c>
      <c r="I650" s="19">
        <v>134297.32999999999</v>
      </c>
      <c r="J650" s="19">
        <v>134297.32999999999</v>
      </c>
      <c r="K650" s="72">
        <v>100</v>
      </c>
      <c r="L650" s="72">
        <v>53718.932000000001</v>
      </c>
      <c r="M650" s="19"/>
      <c r="N650" s="19">
        <v>134297.32999999999</v>
      </c>
      <c r="O650" s="19">
        <f t="shared" si="30"/>
        <v>53718.932000000001</v>
      </c>
      <c r="P650" s="6"/>
      <c r="Q650" s="8" t="s">
        <v>2770</v>
      </c>
      <c r="R650" s="61"/>
    </row>
    <row r="651" spans="1:18" s="44" customFormat="1" ht="30.75" customHeight="1" outlineLevel="2" x14ac:dyDescent="0.25">
      <c r="A651" s="6" t="s">
        <v>12</v>
      </c>
      <c r="B651" s="8" t="s">
        <v>1315</v>
      </c>
      <c r="C651" s="8" t="s">
        <v>14</v>
      </c>
      <c r="D651" s="8" t="s">
        <v>1534</v>
      </c>
      <c r="E651" s="8" t="s">
        <v>1949</v>
      </c>
      <c r="F651" s="8" t="s">
        <v>16</v>
      </c>
      <c r="G651" s="8" t="s">
        <v>1114</v>
      </c>
      <c r="H651" s="6" t="s">
        <v>19</v>
      </c>
      <c r="I651" s="19">
        <v>240711.76</v>
      </c>
      <c r="J651" s="19">
        <v>240711.76</v>
      </c>
      <c r="K651" s="72">
        <v>100</v>
      </c>
      <c r="L651" s="72">
        <v>96284.704000000012</v>
      </c>
      <c r="M651" s="19"/>
      <c r="N651" s="19">
        <v>240711.76</v>
      </c>
      <c r="O651" s="19">
        <f t="shared" si="30"/>
        <v>96284.704000000012</v>
      </c>
      <c r="P651" s="6"/>
      <c r="Q651" s="8" t="s">
        <v>2689</v>
      </c>
      <c r="R651" s="61"/>
    </row>
    <row r="652" spans="1:18" s="44" customFormat="1" ht="30.75" customHeight="1" outlineLevel="2" x14ac:dyDescent="0.25">
      <c r="A652" s="6" t="s">
        <v>12</v>
      </c>
      <c r="B652" s="8" t="s">
        <v>1315</v>
      </c>
      <c r="C652" s="8" t="s">
        <v>14</v>
      </c>
      <c r="D652" s="8" t="s">
        <v>1535</v>
      </c>
      <c r="E652" s="8" t="s">
        <v>1949</v>
      </c>
      <c r="F652" s="8" t="s">
        <v>16</v>
      </c>
      <c r="G652" s="8" t="s">
        <v>1536</v>
      </c>
      <c r="H652" s="6" t="s">
        <v>19</v>
      </c>
      <c r="I652" s="19">
        <v>223988.63</v>
      </c>
      <c r="J652" s="19">
        <v>223988.63</v>
      </c>
      <c r="K652" s="72">
        <v>100</v>
      </c>
      <c r="L652" s="72">
        <v>89595.452000000005</v>
      </c>
      <c r="M652" s="19"/>
      <c r="N652" s="19">
        <v>223988.63</v>
      </c>
      <c r="O652" s="19">
        <f t="shared" si="30"/>
        <v>89595.452000000005</v>
      </c>
      <c r="P652" s="6"/>
      <c r="Q652" s="8" t="s">
        <v>2689</v>
      </c>
      <c r="R652" s="61"/>
    </row>
    <row r="653" spans="1:18" s="44" customFormat="1" ht="45" customHeight="1" outlineLevel="2" x14ac:dyDescent="0.25">
      <c r="A653" s="6" t="s">
        <v>12</v>
      </c>
      <c r="B653" s="8" t="s">
        <v>1315</v>
      </c>
      <c r="C653" s="8" t="s">
        <v>14</v>
      </c>
      <c r="D653" s="8" t="s">
        <v>1539</v>
      </c>
      <c r="E653" s="8" t="s">
        <v>1949</v>
      </c>
      <c r="F653" s="8" t="s">
        <v>16</v>
      </c>
      <c r="G653" s="8" t="s">
        <v>1540</v>
      </c>
      <c r="H653" s="6" t="s">
        <v>19</v>
      </c>
      <c r="I653" s="19">
        <v>196185.37</v>
      </c>
      <c r="J653" s="19">
        <v>196185.37</v>
      </c>
      <c r="K653" s="72">
        <v>100</v>
      </c>
      <c r="L653" s="72">
        <v>78474.148000000001</v>
      </c>
      <c r="M653" s="19"/>
      <c r="N653" s="19">
        <v>196185.37</v>
      </c>
      <c r="O653" s="19">
        <f t="shared" si="30"/>
        <v>78474.148000000001</v>
      </c>
      <c r="P653" s="6"/>
      <c r="Q653" s="8" t="s">
        <v>2713</v>
      </c>
      <c r="R653" s="61"/>
    </row>
    <row r="654" spans="1:18" s="44" customFormat="1" ht="33.75" customHeight="1" outlineLevel="2" x14ac:dyDescent="0.25">
      <c r="A654" s="6" t="s">
        <v>12</v>
      </c>
      <c r="B654" s="8" t="s">
        <v>1315</v>
      </c>
      <c r="C654" s="8" t="s">
        <v>14</v>
      </c>
      <c r="D654" s="8" t="s">
        <v>1541</v>
      </c>
      <c r="E654" s="8" t="s">
        <v>1949</v>
      </c>
      <c r="F654" s="8" t="s">
        <v>31</v>
      </c>
      <c r="G654" s="8" t="s">
        <v>1542</v>
      </c>
      <c r="H654" s="6" t="s">
        <v>19</v>
      </c>
      <c r="I654" s="19">
        <v>62550.61</v>
      </c>
      <c r="J654" s="19">
        <v>62550.61</v>
      </c>
      <c r="K654" s="72">
        <v>100</v>
      </c>
      <c r="L654" s="72">
        <v>25020.244000000002</v>
      </c>
      <c r="M654" s="19"/>
      <c r="N654" s="19">
        <v>62550.61</v>
      </c>
      <c r="O654" s="19">
        <f t="shared" si="30"/>
        <v>25020.244000000002</v>
      </c>
      <c r="P654" s="6"/>
      <c r="Q654" s="8" t="s">
        <v>1968</v>
      </c>
      <c r="R654" s="61"/>
    </row>
    <row r="655" spans="1:18" s="44" customFormat="1" ht="30.75" customHeight="1" outlineLevel="2" x14ac:dyDescent="0.25">
      <c r="A655" s="6" t="s">
        <v>12</v>
      </c>
      <c r="B655" s="8" t="s">
        <v>1315</v>
      </c>
      <c r="C655" s="8" t="s">
        <v>14</v>
      </c>
      <c r="D655" s="8" t="s">
        <v>1543</v>
      </c>
      <c r="E655" s="8" t="s">
        <v>1949</v>
      </c>
      <c r="F655" s="8" t="s">
        <v>1501</v>
      </c>
      <c r="G655" s="8" t="s">
        <v>1491</v>
      </c>
      <c r="H655" s="6" t="s">
        <v>19</v>
      </c>
      <c r="I655" s="19">
        <v>792711.36</v>
      </c>
      <c r="J655" s="19">
        <v>634169.09</v>
      </c>
      <c r="K655" s="72">
        <v>80</v>
      </c>
      <c r="L655" s="72">
        <v>317084.54399999999</v>
      </c>
      <c r="M655" s="19"/>
      <c r="N655" s="19">
        <v>634169.09</v>
      </c>
      <c r="O655" s="19">
        <f t="shared" si="30"/>
        <v>317084.54399999999</v>
      </c>
      <c r="P655" s="6"/>
      <c r="Q655" s="8" t="s">
        <v>2767</v>
      </c>
      <c r="R655" s="61"/>
    </row>
    <row r="656" spans="1:18" s="44" customFormat="1" ht="30.75" customHeight="1" outlineLevel="2" x14ac:dyDescent="0.25">
      <c r="A656" s="6" t="s">
        <v>12</v>
      </c>
      <c r="B656" s="8" t="s">
        <v>1315</v>
      </c>
      <c r="C656" s="8" t="s">
        <v>14</v>
      </c>
      <c r="D656" s="8" t="s">
        <v>1544</v>
      </c>
      <c r="E656" s="8" t="s">
        <v>1949</v>
      </c>
      <c r="F656" s="8" t="s">
        <v>1501</v>
      </c>
      <c r="G656" s="8" t="s">
        <v>62</v>
      </c>
      <c r="H656" s="6" t="s">
        <v>19</v>
      </c>
      <c r="I656" s="19">
        <v>233078.76</v>
      </c>
      <c r="J656" s="19">
        <v>186463.01</v>
      </c>
      <c r="K656" s="72">
        <v>80</v>
      </c>
      <c r="L656" s="72">
        <v>93231.504000000015</v>
      </c>
      <c r="M656" s="19"/>
      <c r="N656" s="19">
        <v>186463.01</v>
      </c>
      <c r="O656" s="19">
        <f t="shared" si="30"/>
        <v>93231.504000000015</v>
      </c>
      <c r="P656" s="6"/>
      <c r="Q656" s="8" t="s">
        <v>2766</v>
      </c>
      <c r="R656" s="61"/>
    </row>
    <row r="657" spans="1:18" s="44" customFormat="1" ht="30.75" customHeight="1" outlineLevel="2" x14ac:dyDescent="0.25">
      <c r="A657" s="6" t="s">
        <v>12</v>
      </c>
      <c r="B657" s="8" t="s">
        <v>1315</v>
      </c>
      <c r="C657" s="8" t="s">
        <v>14</v>
      </c>
      <c r="D657" s="8" t="s">
        <v>1545</v>
      </c>
      <c r="E657" s="8" t="s">
        <v>1949</v>
      </c>
      <c r="F657" s="8" t="s">
        <v>16</v>
      </c>
      <c r="G657" s="8" t="s">
        <v>1484</v>
      </c>
      <c r="H657" s="6" t="s">
        <v>19</v>
      </c>
      <c r="I657" s="19">
        <v>35380.800000000003</v>
      </c>
      <c r="J657" s="19">
        <v>35380.800000000003</v>
      </c>
      <c r="K657" s="72">
        <v>100</v>
      </c>
      <c r="L657" s="72">
        <v>14152.320000000002</v>
      </c>
      <c r="M657" s="19"/>
      <c r="N657" s="19">
        <v>35380.800000000003</v>
      </c>
      <c r="O657" s="19">
        <f t="shared" si="30"/>
        <v>14152.320000000002</v>
      </c>
      <c r="P657" s="6"/>
      <c r="Q657" s="8" t="s">
        <v>2765</v>
      </c>
      <c r="R657" s="61"/>
    </row>
    <row r="658" spans="1:18" s="44" customFormat="1" ht="30.75" customHeight="1" outlineLevel="2" x14ac:dyDescent="0.25">
      <c r="A658" s="6" t="s">
        <v>12</v>
      </c>
      <c r="B658" s="8" t="s">
        <v>1315</v>
      </c>
      <c r="C658" s="8" t="s">
        <v>14</v>
      </c>
      <c r="D658" s="8" t="s">
        <v>1546</v>
      </c>
      <c r="E658" s="8" t="s">
        <v>1949</v>
      </c>
      <c r="F658" s="8" t="s">
        <v>1501</v>
      </c>
      <c r="G658" s="8" t="s">
        <v>60</v>
      </c>
      <c r="H658" s="6" t="s">
        <v>19</v>
      </c>
      <c r="I658" s="19">
        <v>5420028.0599999996</v>
      </c>
      <c r="J658" s="19">
        <v>4336022.45</v>
      </c>
      <c r="K658" s="72">
        <v>80</v>
      </c>
      <c r="L658" s="72">
        <v>2168011.2239999999</v>
      </c>
      <c r="M658" s="19"/>
      <c r="N658" s="19">
        <v>4336022.45</v>
      </c>
      <c r="O658" s="19">
        <f t="shared" si="30"/>
        <v>2168011.2239999999</v>
      </c>
      <c r="P658" s="6"/>
      <c r="Q658" s="8" t="s">
        <v>2748</v>
      </c>
      <c r="R658" s="61"/>
    </row>
    <row r="659" spans="1:18" s="44" customFormat="1" ht="30.75" customHeight="1" outlineLevel="2" x14ac:dyDescent="0.25">
      <c r="A659" s="6" t="s">
        <v>12</v>
      </c>
      <c r="B659" s="8" t="s">
        <v>1315</v>
      </c>
      <c r="C659" s="8" t="s">
        <v>14</v>
      </c>
      <c r="D659" s="8" t="s">
        <v>1547</v>
      </c>
      <c r="E659" s="8" t="s">
        <v>1949</v>
      </c>
      <c r="F659" s="8" t="s">
        <v>1501</v>
      </c>
      <c r="G659" s="8" t="s">
        <v>1548</v>
      </c>
      <c r="H659" s="6" t="s">
        <v>19</v>
      </c>
      <c r="I659" s="19">
        <v>778377.6</v>
      </c>
      <c r="J659" s="19">
        <v>622702.07999999996</v>
      </c>
      <c r="K659" s="72">
        <v>80</v>
      </c>
      <c r="L659" s="72">
        <v>311351.03999999998</v>
      </c>
      <c r="M659" s="19"/>
      <c r="N659" s="19">
        <v>622702.07999999996</v>
      </c>
      <c r="O659" s="19">
        <f t="shared" si="30"/>
        <v>311351.03999999998</v>
      </c>
      <c r="P659" s="6"/>
      <c r="Q659" s="8" t="s">
        <v>2767</v>
      </c>
      <c r="R659" s="61"/>
    </row>
    <row r="660" spans="1:18" s="44" customFormat="1" ht="30.75" customHeight="1" outlineLevel="2" x14ac:dyDescent="0.25">
      <c r="A660" s="6" t="s">
        <v>12</v>
      </c>
      <c r="B660" s="8" t="s">
        <v>1315</v>
      </c>
      <c r="C660" s="8" t="s">
        <v>14</v>
      </c>
      <c r="D660" s="8" t="s">
        <v>1549</v>
      </c>
      <c r="E660" s="8" t="s">
        <v>1949</v>
      </c>
      <c r="F660" s="8" t="s">
        <v>1501</v>
      </c>
      <c r="G660" s="8" t="s">
        <v>1493</v>
      </c>
      <c r="H660" s="6" t="s">
        <v>19</v>
      </c>
      <c r="I660" s="19">
        <v>357690.06</v>
      </c>
      <c r="J660" s="19">
        <v>286152.05</v>
      </c>
      <c r="K660" s="72">
        <v>80</v>
      </c>
      <c r="L660" s="72">
        <v>143076.024</v>
      </c>
      <c r="M660" s="19"/>
      <c r="N660" s="19">
        <v>286152.05</v>
      </c>
      <c r="O660" s="19">
        <f t="shared" si="30"/>
        <v>143076.024</v>
      </c>
      <c r="P660" s="6"/>
      <c r="Q660" s="8" t="s">
        <v>2767</v>
      </c>
      <c r="R660" s="61"/>
    </row>
    <row r="661" spans="1:18" s="44" customFormat="1" ht="30.75" customHeight="1" outlineLevel="2" x14ac:dyDescent="0.25">
      <c r="A661" s="6" t="s">
        <v>12</v>
      </c>
      <c r="B661" s="8" t="s">
        <v>1315</v>
      </c>
      <c r="C661" s="8" t="s">
        <v>14</v>
      </c>
      <c r="D661" s="8" t="s">
        <v>1550</v>
      </c>
      <c r="E661" s="8" t="s">
        <v>1949</v>
      </c>
      <c r="F661" s="8" t="s">
        <v>16</v>
      </c>
      <c r="G661" s="8" t="s">
        <v>461</v>
      </c>
      <c r="H661" s="6" t="s">
        <v>19</v>
      </c>
      <c r="I661" s="19">
        <v>84147.55</v>
      </c>
      <c r="J661" s="19">
        <v>84147.55</v>
      </c>
      <c r="K661" s="72">
        <v>100</v>
      </c>
      <c r="L661" s="72">
        <v>33659.020000000004</v>
      </c>
      <c r="M661" s="19"/>
      <c r="N661" s="19">
        <v>84147.55</v>
      </c>
      <c r="O661" s="19">
        <f t="shared" si="30"/>
        <v>33659.020000000004</v>
      </c>
      <c r="P661" s="6"/>
      <c r="Q661" s="8" t="s">
        <v>2749</v>
      </c>
      <c r="R661" s="61"/>
    </row>
    <row r="662" spans="1:18" s="44" customFormat="1" ht="30.75" customHeight="1" outlineLevel="2" x14ac:dyDescent="0.25">
      <c r="A662" s="6" t="s">
        <v>12</v>
      </c>
      <c r="B662" s="8" t="s">
        <v>1315</v>
      </c>
      <c r="C662" s="8" t="s">
        <v>14</v>
      </c>
      <c r="D662" s="8" t="s">
        <v>1551</v>
      </c>
      <c r="E662" s="8" t="s">
        <v>1949</v>
      </c>
      <c r="F662" s="8" t="s">
        <v>1501</v>
      </c>
      <c r="G662" s="8" t="s">
        <v>1495</v>
      </c>
      <c r="H662" s="6" t="s">
        <v>19</v>
      </c>
      <c r="I662" s="19">
        <v>1793050.56</v>
      </c>
      <c r="J662" s="19">
        <v>1434440.45</v>
      </c>
      <c r="K662" s="72">
        <v>80</v>
      </c>
      <c r="L662" s="72">
        <v>717220.22400000005</v>
      </c>
      <c r="M662" s="19"/>
      <c r="N662" s="19">
        <v>1434440.45</v>
      </c>
      <c r="O662" s="19">
        <f t="shared" si="30"/>
        <v>717220.22400000005</v>
      </c>
      <c r="P662" s="6"/>
      <c r="Q662" s="8" t="s">
        <v>2750</v>
      </c>
      <c r="R662" s="61"/>
    </row>
    <row r="663" spans="1:18" s="44" customFormat="1" ht="30.75" customHeight="1" outlineLevel="2" x14ac:dyDescent="0.25">
      <c r="A663" s="6" t="s">
        <v>12</v>
      </c>
      <c r="B663" s="8" t="s">
        <v>1315</v>
      </c>
      <c r="C663" s="8" t="s">
        <v>14</v>
      </c>
      <c r="D663" s="8" t="s">
        <v>1552</v>
      </c>
      <c r="E663" s="8" t="s">
        <v>1949</v>
      </c>
      <c r="F663" s="8" t="s">
        <v>16</v>
      </c>
      <c r="G663" s="8" t="s">
        <v>1115</v>
      </c>
      <c r="H663" s="6" t="s">
        <v>19</v>
      </c>
      <c r="I663" s="19">
        <v>2756.64</v>
      </c>
      <c r="J663" s="19">
        <v>2756.64</v>
      </c>
      <c r="K663" s="72">
        <v>100</v>
      </c>
      <c r="L663" s="72">
        <v>1102.6559999999999</v>
      </c>
      <c r="M663" s="19"/>
      <c r="N663" s="19">
        <v>2756.64</v>
      </c>
      <c r="O663" s="19">
        <f t="shared" si="30"/>
        <v>1102.6559999999999</v>
      </c>
      <c r="P663" s="6"/>
      <c r="Q663" s="8" t="s">
        <v>2750</v>
      </c>
      <c r="R663" s="61"/>
    </row>
    <row r="664" spans="1:18" s="44" customFormat="1" ht="30.75" customHeight="1" outlineLevel="2" x14ac:dyDescent="0.25">
      <c r="A664" s="6" t="s">
        <v>12</v>
      </c>
      <c r="B664" s="8" t="s">
        <v>1315</v>
      </c>
      <c r="C664" s="8" t="s">
        <v>14</v>
      </c>
      <c r="D664" s="8" t="s">
        <v>1553</v>
      </c>
      <c r="E664" s="8" t="s">
        <v>1949</v>
      </c>
      <c r="F664" s="8" t="s">
        <v>16</v>
      </c>
      <c r="G664" s="8" t="s">
        <v>446</v>
      </c>
      <c r="H664" s="6" t="s">
        <v>19</v>
      </c>
      <c r="I664" s="19">
        <v>12480.48</v>
      </c>
      <c r="J664" s="19">
        <v>12480.48</v>
      </c>
      <c r="K664" s="72">
        <v>100</v>
      </c>
      <c r="L664" s="72">
        <v>4992.192</v>
      </c>
      <c r="M664" s="19"/>
      <c r="N664" s="19">
        <v>12480.48</v>
      </c>
      <c r="O664" s="19">
        <f t="shared" si="30"/>
        <v>4992.192</v>
      </c>
      <c r="P664" s="6"/>
      <c r="Q664" s="8" t="s">
        <v>2396</v>
      </c>
      <c r="R664" s="61"/>
    </row>
    <row r="665" spans="1:18" s="44" customFormat="1" ht="45" customHeight="1" outlineLevel="2" x14ac:dyDescent="0.25">
      <c r="A665" s="6" t="s">
        <v>12</v>
      </c>
      <c r="B665" s="8" t="s">
        <v>2690</v>
      </c>
      <c r="C665" s="8" t="s">
        <v>14</v>
      </c>
      <c r="D665" s="8" t="s">
        <v>1554</v>
      </c>
      <c r="E665" s="8" t="s">
        <v>1949</v>
      </c>
      <c r="F665" s="8" t="s">
        <v>1555</v>
      </c>
      <c r="G665" s="8" t="s">
        <v>1002</v>
      </c>
      <c r="H665" s="6" t="s">
        <v>19</v>
      </c>
      <c r="I665" s="19">
        <v>2224252.7999999998</v>
      </c>
      <c r="J665" s="19">
        <v>2224252.7999999998</v>
      </c>
      <c r="K665" s="72">
        <v>100</v>
      </c>
      <c r="L665" s="72">
        <v>889701.12</v>
      </c>
      <c r="M665" s="19"/>
      <c r="N665" s="19">
        <v>2224252.7999999998</v>
      </c>
      <c r="O665" s="19">
        <f t="shared" si="30"/>
        <v>889701.12</v>
      </c>
      <c r="P665" s="6"/>
      <c r="Q665" s="8" t="s">
        <v>2691</v>
      </c>
      <c r="R665" s="61"/>
    </row>
    <row r="666" spans="1:18" s="44" customFormat="1" ht="45" customHeight="1" outlineLevel="2" x14ac:dyDescent="0.25">
      <c r="A666" s="6" t="s">
        <v>12</v>
      </c>
      <c r="B666" s="8" t="s">
        <v>1315</v>
      </c>
      <c r="C666" s="8" t="s">
        <v>14</v>
      </c>
      <c r="D666" s="8" t="s">
        <v>1556</v>
      </c>
      <c r="E666" s="8" t="s">
        <v>1949</v>
      </c>
      <c r="F666" s="8" t="s">
        <v>1557</v>
      </c>
      <c r="G666" s="8" t="s">
        <v>1558</v>
      </c>
      <c r="H666" s="6" t="s">
        <v>19</v>
      </c>
      <c r="I666" s="19">
        <v>6128915.3300000001</v>
      </c>
      <c r="J666" s="19">
        <v>4903132.26</v>
      </c>
      <c r="K666" s="72">
        <v>80</v>
      </c>
      <c r="L666" s="72">
        <v>2451566.1320000002</v>
      </c>
      <c r="M666" s="19"/>
      <c r="N666" s="19">
        <v>4903132.26</v>
      </c>
      <c r="O666" s="19">
        <f t="shared" si="30"/>
        <v>2451566.1320000002</v>
      </c>
      <c r="P666" s="6"/>
      <c r="Q666" s="8" t="s">
        <v>2692</v>
      </c>
      <c r="R666" s="61"/>
    </row>
    <row r="667" spans="1:18" s="53" customFormat="1" ht="45" customHeight="1" outlineLevel="2" x14ac:dyDescent="0.25">
      <c r="A667" s="6" t="s">
        <v>12</v>
      </c>
      <c r="B667" s="8" t="s">
        <v>1315</v>
      </c>
      <c r="C667" s="8" t="s">
        <v>14</v>
      </c>
      <c r="D667" s="8" t="s">
        <v>1564</v>
      </c>
      <c r="E667" s="8" t="s">
        <v>1949</v>
      </c>
      <c r="F667" s="8" t="s">
        <v>1557</v>
      </c>
      <c r="G667" s="8" t="s">
        <v>1565</v>
      </c>
      <c r="H667" s="6" t="s">
        <v>19</v>
      </c>
      <c r="I667" s="19">
        <v>39595334.329999998</v>
      </c>
      <c r="J667" s="19">
        <v>31676267.460000001</v>
      </c>
      <c r="K667" s="72">
        <v>80</v>
      </c>
      <c r="L667" s="72">
        <v>15838133.732000001</v>
      </c>
      <c r="M667" s="19"/>
      <c r="N667" s="19">
        <v>31676267.460000001</v>
      </c>
      <c r="O667" s="19">
        <f t="shared" si="30"/>
        <v>15838133.732000001</v>
      </c>
      <c r="P667" s="6"/>
      <c r="Q667" s="8" t="s">
        <v>2695</v>
      </c>
      <c r="R667" s="144"/>
    </row>
    <row r="668" spans="1:18" s="44" customFormat="1" ht="45" customHeight="1" outlineLevel="2" x14ac:dyDescent="0.25">
      <c r="A668" s="6" t="s">
        <v>12</v>
      </c>
      <c r="B668" s="8" t="s">
        <v>1315</v>
      </c>
      <c r="C668" s="8" t="s">
        <v>14</v>
      </c>
      <c r="D668" s="8" t="s">
        <v>1567</v>
      </c>
      <c r="E668" s="8" t="s">
        <v>1949</v>
      </c>
      <c r="F668" s="8" t="s">
        <v>1557</v>
      </c>
      <c r="G668" s="8" t="s">
        <v>1507</v>
      </c>
      <c r="H668" s="6" t="s">
        <v>19</v>
      </c>
      <c r="I668" s="19">
        <v>13650000</v>
      </c>
      <c r="J668" s="19">
        <v>10920000</v>
      </c>
      <c r="K668" s="72">
        <v>80</v>
      </c>
      <c r="L668" s="72">
        <v>5460000</v>
      </c>
      <c r="M668" s="19"/>
      <c r="N668" s="19">
        <v>10920000</v>
      </c>
      <c r="O668" s="19">
        <f t="shared" si="30"/>
        <v>5460000</v>
      </c>
      <c r="P668" s="6"/>
      <c r="Q668" s="8" t="s">
        <v>1969</v>
      </c>
      <c r="R668" s="61"/>
    </row>
    <row r="669" spans="1:18" s="44" customFormat="1" ht="13.5" customHeight="1" outlineLevel="2" x14ac:dyDescent="0.25">
      <c r="A669" s="6" t="s">
        <v>12</v>
      </c>
      <c r="B669" s="8" t="s">
        <v>2688</v>
      </c>
      <c r="C669" s="8" t="s">
        <v>14</v>
      </c>
      <c r="D669" s="8" t="s">
        <v>1568</v>
      </c>
      <c r="E669" s="8" t="s">
        <v>1949</v>
      </c>
      <c r="F669" s="8" t="s">
        <v>1501</v>
      </c>
      <c r="G669" s="8" t="s">
        <v>1569</v>
      </c>
      <c r="H669" s="6" t="s">
        <v>19</v>
      </c>
      <c r="I669" s="19">
        <v>6406797.2800000003</v>
      </c>
      <c r="J669" s="19">
        <v>5125437.82</v>
      </c>
      <c r="K669" s="72">
        <v>80</v>
      </c>
      <c r="L669" s="72">
        <v>2562718.9120000005</v>
      </c>
      <c r="M669" s="19"/>
      <c r="N669" s="19">
        <v>5125437.82</v>
      </c>
      <c r="O669" s="19">
        <f t="shared" si="30"/>
        <v>2562718.9120000005</v>
      </c>
      <c r="P669" s="6"/>
      <c r="Q669" s="8" t="s">
        <v>2689</v>
      </c>
      <c r="R669" s="61"/>
    </row>
    <row r="670" spans="1:18" s="44" customFormat="1" ht="45" customHeight="1" outlineLevel="2" x14ac:dyDescent="0.25">
      <c r="A670" s="6" t="s">
        <v>12</v>
      </c>
      <c r="B670" s="8" t="s">
        <v>1315</v>
      </c>
      <c r="C670" s="8" t="s">
        <v>14</v>
      </c>
      <c r="D670" s="8" t="s">
        <v>1603</v>
      </c>
      <c r="E670" s="8" t="s">
        <v>1949</v>
      </c>
      <c r="F670" s="8" t="s">
        <v>1555</v>
      </c>
      <c r="G670" s="8" t="s">
        <v>1604</v>
      </c>
      <c r="H670" s="6" t="s">
        <v>19</v>
      </c>
      <c r="I670" s="19">
        <v>299692.79999999999</v>
      </c>
      <c r="J670" s="19">
        <v>299692.79999999999</v>
      </c>
      <c r="K670" s="72">
        <v>100</v>
      </c>
      <c r="L670" s="72">
        <v>119877.12</v>
      </c>
      <c r="M670" s="19"/>
      <c r="N670" s="19">
        <v>299692.79999999999</v>
      </c>
      <c r="O670" s="19">
        <f t="shared" si="30"/>
        <v>119877.12</v>
      </c>
      <c r="P670" s="6"/>
      <c r="Q670" s="8" t="s">
        <v>2691</v>
      </c>
      <c r="R670" s="61"/>
    </row>
    <row r="671" spans="1:18" s="44" customFormat="1" ht="45" customHeight="1" outlineLevel="2" x14ac:dyDescent="0.25">
      <c r="A671" s="6" t="s">
        <v>12</v>
      </c>
      <c r="B671" s="8" t="s">
        <v>1315</v>
      </c>
      <c r="C671" s="8" t="s">
        <v>14</v>
      </c>
      <c r="D671" s="8" t="s">
        <v>1605</v>
      </c>
      <c r="E671" s="8" t="s">
        <v>1949</v>
      </c>
      <c r="F671" s="8" t="s">
        <v>1529</v>
      </c>
      <c r="G671" s="8" t="s">
        <v>1170</v>
      </c>
      <c r="H671" s="6" t="s">
        <v>19</v>
      </c>
      <c r="I671" s="19">
        <v>697292.5</v>
      </c>
      <c r="J671" s="19">
        <v>697292.5</v>
      </c>
      <c r="K671" s="72">
        <v>100</v>
      </c>
      <c r="L671" s="72">
        <v>278917</v>
      </c>
      <c r="M671" s="19"/>
      <c r="N671" s="19">
        <v>697292.5</v>
      </c>
      <c r="O671" s="19">
        <f t="shared" si="30"/>
        <v>278917</v>
      </c>
      <c r="P671" s="6"/>
      <c r="Q671" s="8" t="s">
        <v>1972</v>
      </c>
      <c r="R671" s="61"/>
    </row>
    <row r="672" spans="1:18" s="44" customFormat="1" ht="45" customHeight="1" outlineLevel="2" x14ac:dyDescent="0.25">
      <c r="A672" s="6" t="s">
        <v>12</v>
      </c>
      <c r="B672" s="8" t="s">
        <v>1315</v>
      </c>
      <c r="C672" s="8" t="s">
        <v>14</v>
      </c>
      <c r="D672" s="8" t="s">
        <v>1606</v>
      </c>
      <c r="E672" s="8" t="s">
        <v>1949</v>
      </c>
      <c r="F672" s="8" t="s">
        <v>1529</v>
      </c>
      <c r="G672" s="8" t="s">
        <v>1607</v>
      </c>
      <c r="H672" s="6" t="s">
        <v>19</v>
      </c>
      <c r="I672" s="19">
        <v>114647.4</v>
      </c>
      <c r="J672" s="19">
        <v>114647.4</v>
      </c>
      <c r="K672" s="72">
        <v>100</v>
      </c>
      <c r="L672" s="72">
        <v>45858.96</v>
      </c>
      <c r="M672" s="19"/>
      <c r="N672" s="19">
        <v>114647.4</v>
      </c>
      <c r="O672" s="19">
        <f t="shared" si="30"/>
        <v>45858.96</v>
      </c>
      <c r="P672" s="6"/>
      <c r="Q672" s="8" t="s">
        <v>1973</v>
      </c>
      <c r="R672" s="61"/>
    </row>
    <row r="673" spans="1:18" s="44" customFormat="1" ht="45" customHeight="1" outlineLevel="2" x14ac:dyDescent="0.25">
      <c r="A673" s="6" t="s">
        <v>12</v>
      </c>
      <c r="B673" s="8" t="s">
        <v>1315</v>
      </c>
      <c r="C673" s="8" t="s">
        <v>14</v>
      </c>
      <c r="D673" s="8" t="s">
        <v>1608</v>
      </c>
      <c r="E673" s="8" t="s">
        <v>1949</v>
      </c>
      <c r="F673" s="8" t="s">
        <v>1523</v>
      </c>
      <c r="G673" s="8" t="s">
        <v>1048</v>
      </c>
      <c r="H673" s="6" t="s">
        <v>19</v>
      </c>
      <c r="I673" s="19">
        <v>7308.15</v>
      </c>
      <c r="J673" s="19">
        <v>7308.15</v>
      </c>
      <c r="K673" s="72">
        <v>100</v>
      </c>
      <c r="L673" s="72">
        <v>2923.26</v>
      </c>
      <c r="M673" s="19"/>
      <c r="N673" s="19">
        <v>7308.15</v>
      </c>
      <c r="O673" s="19">
        <f t="shared" si="30"/>
        <v>2923.26</v>
      </c>
      <c r="P673" s="6"/>
      <c r="Q673" s="8" t="s">
        <v>1973</v>
      </c>
      <c r="R673" s="61"/>
    </row>
    <row r="674" spans="1:18" s="44" customFormat="1" ht="13.5" customHeight="1" outlineLevel="2" x14ac:dyDescent="0.25">
      <c r="A674" s="6" t="s">
        <v>12</v>
      </c>
      <c r="B674" s="8" t="s">
        <v>1315</v>
      </c>
      <c r="C674" s="8" t="s">
        <v>14</v>
      </c>
      <c r="D674" s="8" t="s">
        <v>1609</v>
      </c>
      <c r="E674" s="8" t="s">
        <v>1949</v>
      </c>
      <c r="F674" s="8" t="s">
        <v>1501</v>
      </c>
      <c r="G674" s="8" t="s">
        <v>447</v>
      </c>
      <c r="H674" s="6" t="s">
        <v>19</v>
      </c>
      <c r="I674" s="19">
        <v>1533.6</v>
      </c>
      <c r="J674" s="19">
        <v>1226.8800000000001</v>
      </c>
      <c r="K674" s="72">
        <v>80</v>
      </c>
      <c r="L674" s="72">
        <v>613.43999999999994</v>
      </c>
      <c r="M674" s="19"/>
      <c r="N674" s="19">
        <v>1226.8800000000001</v>
      </c>
      <c r="O674" s="19">
        <f t="shared" si="30"/>
        <v>613.43999999999994</v>
      </c>
      <c r="P674" s="6"/>
      <c r="Q674" s="8" t="s">
        <v>2177</v>
      </c>
      <c r="R674" s="61"/>
    </row>
    <row r="675" spans="1:18" s="44" customFormat="1" ht="27.75" customHeight="1" outlineLevel="2" x14ac:dyDescent="0.25">
      <c r="A675" s="6" t="s">
        <v>12</v>
      </c>
      <c r="B675" s="8" t="s">
        <v>1315</v>
      </c>
      <c r="C675" s="8" t="s">
        <v>14</v>
      </c>
      <c r="D675" s="8" t="s">
        <v>1610</v>
      </c>
      <c r="E675" s="8" t="s">
        <v>1949</v>
      </c>
      <c r="F675" s="8" t="s">
        <v>1501</v>
      </c>
      <c r="G675" s="8" t="s">
        <v>1611</v>
      </c>
      <c r="H675" s="6" t="s">
        <v>19</v>
      </c>
      <c r="I675" s="19">
        <v>526047.48</v>
      </c>
      <c r="J675" s="19">
        <v>420837.98</v>
      </c>
      <c r="K675" s="72">
        <v>80</v>
      </c>
      <c r="L675" s="72">
        <v>210418.992</v>
      </c>
      <c r="M675" s="19"/>
      <c r="N675" s="19">
        <v>420837.98</v>
      </c>
      <c r="O675" s="19">
        <f t="shared" si="30"/>
        <v>210418.992</v>
      </c>
      <c r="P675" s="6"/>
      <c r="Q675" s="8" t="s">
        <v>2689</v>
      </c>
      <c r="R675" s="61"/>
    </row>
    <row r="676" spans="1:18" s="44" customFormat="1" ht="27.75" customHeight="1" outlineLevel="2" x14ac:dyDescent="0.25">
      <c r="A676" s="6" t="s">
        <v>12</v>
      </c>
      <c r="B676" s="8" t="s">
        <v>2694</v>
      </c>
      <c r="C676" s="8" t="s">
        <v>14</v>
      </c>
      <c r="D676" s="8" t="s">
        <v>1615</v>
      </c>
      <c r="E676" s="8" t="s">
        <v>1949</v>
      </c>
      <c r="F676" s="8" t="s">
        <v>1501</v>
      </c>
      <c r="G676" s="8" t="s">
        <v>1597</v>
      </c>
      <c r="H676" s="6" t="s">
        <v>19</v>
      </c>
      <c r="I676" s="19">
        <v>9794983.9700000007</v>
      </c>
      <c r="J676" s="19">
        <v>7835987.1799999997</v>
      </c>
      <c r="K676" s="72">
        <v>80</v>
      </c>
      <c r="L676" s="72">
        <v>3917993.5880000005</v>
      </c>
      <c r="M676" s="19"/>
      <c r="N676" s="19">
        <v>7835987.1799999997</v>
      </c>
      <c r="O676" s="19">
        <f t="shared" si="30"/>
        <v>3917993.5880000005</v>
      </c>
      <c r="P676" s="6"/>
      <c r="Q676" s="8" t="s">
        <v>2689</v>
      </c>
      <c r="R676" s="61"/>
    </row>
    <row r="677" spans="1:18" s="44" customFormat="1" ht="29.25" customHeight="1" outlineLevel="2" x14ac:dyDescent="0.25">
      <c r="A677" s="6" t="s">
        <v>12</v>
      </c>
      <c r="B677" s="8" t="s">
        <v>1315</v>
      </c>
      <c r="C677" s="8" t="s">
        <v>14</v>
      </c>
      <c r="D677" s="8" t="s">
        <v>1616</v>
      </c>
      <c r="E677" s="8" t="s">
        <v>1949</v>
      </c>
      <c r="F677" s="8" t="s">
        <v>1617</v>
      </c>
      <c r="G677" s="8" t="s">
        <v>1575</v>
      </c>
      <c r="H677" s="6" t="s">
        <v>19</v>
      </c>
      <c r="I677" s="19">
        <v>69462.36</v>
      </c>
      <c r="J677" s="19">
        <v>69462.36</v>
      </c>
      <c r="K677" s="72">
        <v>100</v>
      </c>
      <c r="L677" s="72">
        <v>27784.944000000003</v>
      </c>
      <c r="M677" s="19"/>
      <c r="N677" s="19">
        <v>69462.36</v>
      </c>
      <c r="O677" s="19">
        <f t="shared" si="30"/>
        <v>27784.944000000003</v>
      </c>
      <c r="P677" s="6"/>
      <c r="Q677" s="8" t="s">
        <v>2768</v>
      </c>
      <c r="R677" s="61"/>
    </row>
    <row r="678" spans="1:18" s="53" customFormat="1" ht="152.25" customHeight="1" outlineLevel="2" x14ac:dyDescent="0.25">
      <c r="A678" s="6" t="s">
        <v>12</v>
      </c>
      <c r="B678" s="8" t="s">
        <v>1868</v>
      </c>
      <c r="C678" s="8" t="s">
        <v>14</v>
      </c>
      <c r="D678" s="8" t="s">
        <v>1872</v>
      </c>
      <c r="E678" s="8" t="s">
        <v>1949</v>
      </c>
      <c r="F678" s="8" t="s">
        <v>1501</v>
      </c>
      <c r="G678" s="8" t="s">
        <v>18</v>
      </c>
      <c r="H678" s="6" t="s">
        <v>19</v>
      </c>
      <c r="I678" s="19">
        <v>61984450.329999998</v>
      </c>
      <c r="J678" s="19">
        <v>49587560.259999998</v>
      </c>
      <c r="K678" s="72">
        <v>80</v>
      </c>
      <c r="L678" s="72">
        <v>24793780.131999999</v>
      </c>
      <c r="M678" s="19"/>
      <c r="N678" s="19">
        <v>49587560.259999998</v>
      </c>
      <c r="O678" s="19">
        <f t="shared" si="30"/>
        <v>24793780.131999999</v>
      </c>
      <c r="P678" s="6"/>
      <c r="Q678" s="8" t="s">
        <v>2780</v>
      </c>
      <c r="R678" s="144"/>
    </row>
    <row r="679" spans="1:18" s="53" customFormat="1" ht="45" customHeight="1" outlineLevel="2" x14ac:dyDescent="0.25">
      <c r="A679" s="6" t="s">
        <v>12</v>
      </c>
      <c r="B679" s="8" t="s">
        <v>2693</v>
      </c>
      <c r="C679" s="39" t="s">
        <v>14</v>
      </c>
      <c r="D679" s="8" t="s">
        <v>2714</v>
      </c>
      <c r="E679" s="8" t="s">
        <v>1949</v>
      </c>
      <c r="F679" s="8"/>
      <c r="G679" s="8" t="s">
        <v>1585</v>
      </c>
      <c r="H679" s="6"/>
      <c r="I679" s="19">
        <v>25000000</v>
      </c>
      <c r="J679" s="19">
        <v>25000000</v>
      </c>
      <c r="K679" s="72">
        <v>100</v>
      </c>
      <c r="L679" s="72">
        <v>20000000</v>
      </c>
      <c r="M679" s="19"/>
      <c r="N679" s="19">
        <v>25000000</v>
      </c>
      <c r="O679" s="19">
        <f t="shared" si="30"/>
        <v>20000000</v>
      </c>
      <c r="P679" s="6"/>
      <c r="Q679" s="8" t="s">
        <v>1971</v>
      </c>
      <c r="R679" s="144"/>
    </row>
    <row r="680" spans="1:18" s="44" customFormat="1" ht="22.5" customHeight="1" outlineLevel="1" x14ac:dyDescent="0.25">
      <c r="A680" s="158"/>
      <c r="B680" s="159"/>
      <c r="C680" s="152" t="s">
        <v>1947</v>
      </c>
      <c r="D680" s="8"/>
      <c r="E680" s="159"/>
      <c r="F680" s="8"/>
      <c r="G680" s="159"/>
      <c r="H680" s="6"/>
      <c r="I680" s="28">
        <f>SUBTOTAL(9,I636:I679)</f>
        <v>602204337.26000011</v>
      </c>
      <c r="J680" s="28">
        <f t="shared" ref="J680:O680" si="31">SUBTOTAL(9,J636:J679)</f>
        <v>353936746.68000001</v>
      </c>
      <c r="K680" s="28">
        <f t="shared" si="31"/>
        <v>3950</v>
      </c>
      <c r="L680" s="160">
        <f t="shared" si="31"/>
        <v>250928174.90400001</v>
      </c>
      <c r="M680" s="160">
        <f t="shared" si="31"/>
        <v>844353.6</v>
      </c>
      <c r="N680" s="28">
        <f t="shared" si="31"/>
        <v>353169793.07999998</v>
      </c>
      <c r="O680" s="160">
        <f t="shared" si="31"/>
        <v>250083821.30400002</v>
      </c>
      <c r="P680" s="6"/>
      <c r="Q680" s="140"/>
      <c r="R680" s="61"/>
    </row>
    <row r="681" spans="1:18" s="44" customFormat="1" ht="33.75" customHeight="1" outlineLevel="2" x14ac:dyDescent="0.25">
      <c r="A681" s="6" t="s">
        <v>12</v>
      </c>
      <c r="B681" s="8" t="s">
        <v>305</v>
      </c>
      <c r="C681" s="8" t="s">
        <v>42</v>
      </c>
      <c r="D681" s="8" t="s">
        <v>311</v>
      </c>
      <c r="E681" s="8" t="s">
        <v>26</v>
      </c>
      <c r="F681" s="8" t="s">
        <v>191</v>
      </c>
      <c r="G681" s="8" t="s">
        <v>312</v>
      </c>
      <c r="H681" s="6" t="s">
        <v>19</v>
      </c>
      <c r="I681" s="19">
        <v>11916</v>
      </c>
      <c r="J681" s="19">
        <v>11916</v>
      </c>
      <c r="K681" s="72">
        <v>100</v>
      </c>
      <c r="L681" s="19">
        <v>11916</v>
      </c>
      <c r="M681" s="19">
        <v>11916</v>
      </c>
      <c r="N681" s="19"/>
      <c r="O681" s="19">
        <f t="shared" ref="O681:O697" si="32">L681-M681</f>
        <v>0</v>
      </c>
      <c r="P681" s="6"/>
      <c r="Q681" s="8" t="s">
        <v>2090</v>
      </c>
      <c r="R681" s="61"/>
    </row>
    <row r="682" spans="1:18" s="44" customFormat="1" ht="45" customHeight="1" outlineLevel="2" x14ac:dyDescent="0.25">
      <c r="A682" s="6" t="s">
        <v>12</v>
      </c>
      <c r="B682" s="8" t="s">
        <v>74</v>
      </c>
      <c r="C682" s="8" t="s">
        <v>42</v>
      </c>
      <c r="D682" s="8" t="s">
        <v>87</v>
      </c>
      <c r="E682" s="8" t="s">
        <v>29</v>
      </c>
      <c r="F682" s="8" t="s">
        <v>88</v>
      </c>
      <c r="G682" s="8" t="s">
        <v>82</v>
      </c>
      <c r="H682" s="6" t="s">
        <v>19</v>
      </c>
      <c r="I682" s="19">
        <v>443445408</v>
      </c>
      <c r="J682" s="19">
        <v>354756326.39999998</v>
      </c>
      <c r="K682" s="72">
        <v>80</v>
      </c>
      <c r="L682" s="72">
        <f>I682*40%</f>
        <v>177378163.20000002</v>
      </c>
      <c r="M682" s="19">
        <v>177378163.19999999</v>
      </c>
      <c r="N682" s="19">
        <v>177378163.19999999</v>
      </c>
      <c r="O682" s="19">
        <f t="shared" si="32"/>
        <v>0</v>
      </c>
      <c r="P682" s="6"/>
      <c r="Q682" s="8" t="s">
        <v>2961</v>
      </c>
      <c r="R682" s="61"/>
    </row>
    <row r="683" spans="1:18" s="44" customFormat="1" ht="45" customHeight="1" outlineLevel="2" x14ac:dyDescent="0.25">
      <c r="A683" s="6" t="s">
        <v>12</v>
      </c>
      <c r="B683" s="8" t="s">
        <v>91</v>
      </c>
      <c r="C683" s="8" t="s">
        <v>42</v>
      </c>
      <c r="D683" s="8" t="s">
        <v>92</v>
      </c>
      <c r="E683" s="8" t="s">
        <v>29</v>
      </c>
      <c r="F683" s="8" t="s">
        <v>94</v>
      </c>
      <c r="G683" s="8" t="s">
        <v>93</v>
      </c>
      <c r="H683" s="6" t="s">
        <v>19</v>
      </c>
      <c r="I683" s="19">
        <v>748956064.75</v>
      </c>
      <c r="J683" s="19">
        <v>339279468.48000002</v>
      </c>
      <c r="K683" s="72">
        <v>45</v>
      </c>
      <c r="L683" s="37">
        <v>169639734.24000001</v>
      </c>
      <c r="M683" s="19">
        <v>169639734.24000001</v>
      </c>
      <c r="N683" s="19">
        <v>169639734.24000001</v>
      </c>
      <c r="O683" s="19">
        <f t="shared" si="32"/>
        <v>0</v>
      </c>
      <c r="P683" s="6"/>
      <c r="Q683" s="8" t="s">
        <v>2091</v>
      </c>
      <c r="R683" s="61"/>
    </row>
    <row r="684" spans="1:18" s="44" customFormat="1" ht="34.5" customHeight="1" outlineLevel="2" x14ac:dyDescent="0.25">
      <c r="A684" s="6" t="s">
        <v>12</v>
      </c>
      <c r="B684" s="8" t="s">
        <v>116</v>
      </c>
      <c r="C684" s="8" t="s">
        <v>42</v>
      </c>
      <c r="D684" s="8" t="s">
        <v>118</v>
      </c>
      <c r="E684" s="8" t="s">
        <v>29</v>
      </c>
      <c r="F684" s="8" t="s">
        <v>119</v>
      </c>
      <c r="G684" s="8" t="s">
        <v>117</v>
      </c>
      <c r="H684" s="6" t="s">
        <v>19</v>
      </c>
      <c r="I684" s="19">
        <v>14292740.93</v>
      </c>
      <c r="J684" s="19">
        <v>8393956.5600000005</v>
      </c>
      <c r="K684" s="72">
        <v>59</v>
      </c>
      <c r="L684" s="37">
        <v>1678791.31</v>
      </c>
      <c r="M684" s="19">
        <v>1678791.31</v>
      </c>
      <c r="N684" s="19">
        <v>6715165.25</v>
      </c>
      <c r="O684" s="19">
        <f t="shared" si="32"/>
        <v>0</v>
      </c>
      <c r="P684" s="6"/>
      <c r="Q684" s="8" t="s">
        <v>2092</v>
      </c>
      <c r="R684" s="61"/>
    </row>
    <row r="685" spans="1:18" s="44" customFormat="1" ht="37.5" customHeight="1" outlineLevel="2" x14ac:dyDescent="0.25">
      <c r="A685" s="6" t="s">
        <v>12</v>
      </c>
      <c r="B685" s="8" t="s">
        <v>136</v>
      </c>
      <c r="C685" s="8" t="s">
        <v>42</v>
      </c>
      <c r="D685" s="8" t="s">
        <v>142</v>
      </c>
      <c r="E685" s="8" t="s">
        <v>29</v>
      </c>
      <c r="F685" s="8" t="s">
        <v>88</v>
      </c>
      <c r="G685" s="8" t="s">
        <v>143</v>
      </c>
      <c r="H685" s="6" t="s">
        <v>19</v>
      </c>
      <c r="I685" s="19">
        <v>2588427.36</v>
      </c>
      <c r="J685" s="19">
        <v>2070741.89</v>
      </c>
      <c r="K685" s="72">
        <v>80</v>
      </c>
      <c r="L685" s="37">
        <f>I685*40%</f>
        <v>1035370.944</v>
      </c>
      <c r="M685" s="19"/>
      <c r="N685" s="19">
        <v>2070741.89</v>
      </c>
      <c r="O685" s="19">
        <f t="shared" si="32"/>
        <v>1035370.944</v>
      </c>
      <c r="P685" s="6" t="s">
        <v>2093</v>
      </c>
      <c r="Q685" s="8" t="s">
        <v>2094</v>
      </c>
      <c r="R685" s="61"/>
    </row>
    <row r="686" spans="1:18" s="44" customFormat="1" ht="37.5" customHeight="1" outlineLevel="2" x14ac:dyDescent="0.25">
      <c r="A686" s="6" t="s">
        <v>12</v>
      </c>
      <c r="B686" s="8" t="s">
        <v>174</v>
      </c>
      <c r="C686" s="8" t="s">
        <v>42</v>
      </c>
      <c r="D686" s="8" t="s">
        <v>177</v>
      </c>
      <c r="E686" s="8" t="s">
        <v>29</v>
      </c>
      <c r="F686" s="8" t="s">
        <v>88</v>
      </c>
      <c r="G686" s="8" t="s">
        <v>175</v>
      </c>
      <c r="H686" s="6" t="s">
        <v>19</v>
      </c>
      <c r="I686" s="19">
        <v>267813.71999999997</v>
      </c>
      <c r="J686" s="19">
        <v>214250.98</v>
      </c>
      <c r="K686" s="72">
        <v>80</v>
      </c>
      <c r="L686" s="19">
        <v>214250.98</v>
      </c>
      <c r="M686" s="19">
        <v>214250.98</v>
      </c>
      <c r="N686" s="19"/>
      <c r="O686" s="19">
        <f t="shared" si="32"/>
        <v>0</v>
      </c>
      <c r="P686" s="6"/>
      <c r="Q686" s="8" t="s">
        <v>2095</v>
      </c>
      <c r="R686" s="61"/>
    </row>
    <row r="687" spans="1:18" s="44" customFormat="1" ht="42" customHeight="1" outlineLevel="2" x14ac:dyDescent="0.25">
      <c r="A687" s="6" t="s">
        <v>12</v>
      </c>
      <c r="B687" s="8" t="s">
        <v>183</v>
      </c>
      <c r="C687" s="8" t="s">
        <v>42</v>
      </c>
      <c r="D687" s="8" t="s">
        <v>190</v>
      </c>
      <c r="E687" s="8" t="s">
        <v>29</v>
      </c>
      <c r="F687" s="8" t="s">
        <v>191</v>
      </c>
      <c r="G687" s="8" t="s">
        <v>186</v>
      </c>
      <c r="H687" s="6" t="s">
        <v>19</v>
      </c>
      <c r="I687" s="19">
        <v>594864</v>
      </c>
      <c r="J687" s="19">
        <v>594864</v>
      </c>
      <c r="K687" s="72">
        <v>100</v>
      </c>
      <c r="L687" s="19">
        <v>475891.20000000001</v>
      </c>
      <c r="M687" s="19">
        <v>475891.20000000001</v>
      </c>
      <c r="N687" s="19">
        <v>118972.8</v>
      </c>
      <c r="O687" s="19">
        <f t="shared" si="32"/>
        <v>0</v>
      </c>
      <c r="P687" s="6"/>
      <c r="Q687" s="8" t="s">
        <v>2096</v>
      </c>
      <c r="R687" s="61"/>
    </row>
    <row r="688" spans="1:18" s="44" customFormat="1" ht="39" customHeight="1" outlineLevel="2" x14ac:dyDescent="0.25">
      <c r="A688" s="6" t="s">
        <v>12</v>
      </c>
      <c r="B688" s="8" t="s">
        <v>196</v>
      </c>
      <c r="C688" s="8" t="s">
        <v>42</v>
      </c>
      <c r="D688" s="8" t="s">
        <v>201</v>
      </c>
      <c r="E688" s="8" t="s">
        <v>29</v>
      </c>
      <c r="F688" s="8" t="s">
        <v>202</v>
      </c>
      <c r="G688" s="8" t="s">
        <v>198</v>
      </c>
      <c r="H688" s="6" t="s">
        <v>19</v>
      </c>
      <c r="I688" s="19">
        <v>27909375.600000001</v>
      </c>
      <c r="J688" s="19">
        <v>13259220.48</v>
      </c>
      <c r="K688" s="72">
        <v>12</v>
      </c>
      <c r="L688" s="19">
        <f>M688*2</f>
        <v>6629610.2400000002</v>
      </c>
      <c r="M688" s="19">
        <v>3314805.12</v>
      </c>
      <c r="N688" s="19">
        <v>9944415.3599999994</v>
      </c>
      <c r="O688" s="19">
        <f t="shared" si="32"/>
        <v>3314805.12</v>
      </c>
      <c r="P688" s="74">
        <v>45548</v>
      </c>
      <c r="Q688" s="8" t="s">
        <v>2962</v>
      </c>
      <c r="R688" s="61"/>
    </row>
    <row r="689" spans="1:18" s="44" customFormat="1" ht="33.75" customHeight="1" outlineLevel="2" x14ac:dyDescent="0.25">
      <c r="A689" s="6" t="s">
        <v>12</v>
      </c>
      <c r="B689" s="8" t="s">
        <v>206</v>
      </c>
      <c r="C689" s="8" t="s">
        <v>42</v>
      </c>
      <c r="D689" s="8" t="s">
        <v>211</v>
      </c>
      <c r="E689" s="8" t="s">
        <v>29</v>
      </c>
      <c r="F689" s="8" t="s">
        <v>213</v>
      </c>
      <c r="G689" s="8" t="s">
        <v>212</v>
      </c>
      <c r="H689" s="6" t="s">
        <v>19</v>
      </c>
      <c r="I689" s="19">
        <v>76730506.930000007</v>
      </c>
      <c r="J689" s="19">
        <v>26927332.420000002</v>
      </c>
      <c r="K689" s="72">
        <v>35</v>
      </c>
      <c r="L689" s="19">
        <v>3901078.76</v>
      </c>
      <c r="M689" s="19">
        <v>3901078.76</v>
      </c>
      <c r="N689" s="19">
        <v>23026253.66</v>
      </c>
      <c r="O689" s="19">
        <f t="shared" si="32"/>
        <v>0</v>
      </c>
      <c r="P689" s="6"/>
      <c r="Q689" s="8" t="s">
        <v>2097</v>
      </c>
      <c r="R689" s="61"/>
    </row>
    <row r="690" spans="1:18" s="44" customFormat="1" ht="33.75" customHeight="1" outlineLevel="2" x14ac:dyDescent="0.25">
      <c r="A690" s="6" t="s">
        <v>12</v>
      </c>
      <c r="B690" s="8" t="s">
        <v>269</v>
      </c>
      <c r="C690" s="8" t="s">
        <v>42</v>
      </c>
      <c r="D690" s="8" t="s">
        <v>274</v>
      </c>
      <c r="E690" s="8" t="s">
        <v>29</v>
      </c>
      <c r="F690" s="8" t="s">
        <v>275</v>
      </c>
      <c r="G690" s="8" t="s">
        <v>141</v>
      </c>
      <c r="H690" s="6" t="s">
        <v>276</v>
      </c>
      <c r="I690" s="19">
        <v>35970793.200000003</v>
      </c>
      <c r="J690" s="19">
        <v>1598701.92</v>
      </c>
      <c r="K690" s="72">
        <v>4</v>
      </c>
      <c r="L690" s="19">
        <v>799350.96</v>
      </c>
      <c r="M690" s="19">
        <v>799350.96</v>
      </c>
      <c r="N690" s="19">
        <v>799350.96</v>
      </c>
      <c r="O690" s="19">
        <f t="shared" si="32"/>
        <v>0</v>
      </c>
      <c r="P690" s="6"/>
      <c r="Q690" s="8" t="s">
        <v>2098</v>
      </c>
      <c r="R690" s="61"/>
    </row>
    <row r="691" spans="1:18" s="44" customFormat="1" ht="45" customHeight="1" outlineLevel="2" x14ac:dyDescent="0.25">
      <c r="A691" s="6" t="s">
        <v>12</v>
      </c>
      <c r="B691" s="8" t="s">
        <v>269</v>
      </c>
      <c r="C691" s="8" t="s">
        <v>42</v>
      </c>
      <c r="D691" s="8" t="s">
        <v>274</v>
      </c>
      <c r="E691" s="8" t="s">
        <v>29</v>
      </c>
      <c r="F691" s="8" t="s">
        <v>277</v>
      </c>
      <c r="G691" s="8" t="s">
        <v>141</v>
      </c>
      <c r="H691" s="6" t="s">
        <v>158</v>
      </c>
      <c r="I691" s="19">
        <v>35970793.200000003</v>
      </c>
      <c r="J691" s="19">
        <v>12949485.550000001</v>
      </c>
      <c r="K691" s="72">
        <v>36</v>
      </c>
      <c r="L691" s="19">
        <v>6474742.7800000003</v>
      </c>
      <c r="M691" s="19">
        <v>6474742.7800000003</v>
      </c>
      <c r="N691" s="19">
        <v>6474742.7699999996</v>
      </c>
      <c r="O691" s="19">
        <f t="shared" si="32"/>
        <v>0</v>
      </c>
      <c r="P691" s="6"/>
      <c r="Q691" s="8" t="s">
        <v>2098</v>
      </c>
      <c r="R691" s="61"/>
    </row>
    <row r="692" spans="1:18" s="44" customFormat="1" ht="45" customHeight="1" outlineLevel="2" x14ac:dyDescent="0.25">
      <c r="A692" s="6" t="s">
        <v>12</v>
      </c>
      <c r="B692" s="8" t="s">
        <v>269</v>
      </c>
      <c r="C692" s="8" t="s">
        <v>42</v>
      </c>
      <c r="D692" s="8" t="s">
        <v>274</v>
      </c>
      <c r="E692" s="8" t="s">
        <v>29</v>
      </c>
      <c r="F692" s="8" t="s">
        <v>278</v>
      </c>
      <c r="G692" s="8" t="s">
        <v>141</v>
      </c>
      <c r="H692" s="6" t="s">
        <v>279</v>
      </c>
      <c r="I692" s="19">
        <v>35970793.200000003</v>
      </c>
      <c r="J692" s="19">
        <v>14228447.09</v>
      </c>
      <c r="K692" s="72">
        <v>40</v>
      </c>
      <c r="L692" s="19">
        <v>7114223.54</v>
      </c>
      <c r="M692" s="19">
        <v>7114223.54</v>
      </c>
      <c r="N692" s="19">
        <v>7114223.5499999998</v>
      </c>
      <c r="O692" s="19">
        <f t="shared" si="32"/>
        <v>0</v>
      </c>
      <c r="P692" s="6"/>
      <c r="Q692" s="8" t="s">
        <v>2098</v>
      </c>
      <c r="R692" s="61"/>
    </row>
    <row r="693" spans="1:18" s="44" customFormat="1" ht="45" customHeight="1" outlineLevel="2" x14ac:dyDescent="0.25">
      <c r="A693" s="6" t="s">
        <v>12</v>
      </c>
      <c r="B693" s="8" t="s">
        <v>283</v>
      </c>
      <c r="C693" s="8" t="s">
        <v>42</v>
      </c>
      <c r="D693" s="8" t="s">
        <v>291</v>
      </c>
      <c r="E693" s="8" t="s">
        <v>29</v>
      </c>
      <c r="F693" s="8" t="s">
        <v>292</v>
      </c>
      <c r="G693" s="8" t="s">
        <v>293</v>
      </c>
      <c r="H693" s="6" t="s">
        <v>19</v>
      </c>
      <c r="I693" s="19">
        <v>2563493261.4000001</v>
      </c>
      <c r="J693" s="19">
        <f>I693*0.8</f>
        <v>2050794609.1200001</v>
      </c>
      <c r="K693" s="72">
        <v>40</v>
      </c>
      <c r="L693" s="72">
        <v>1025466103.49</v>
      </c>
      <c r="M693" s="72">
        <v>1025466103.49</v>
      </c>
      <c r="N693" s="19">
        <f>J693-M693</f>
        <v>1025328505.6300001</v>
      </c>
      <c r="O693" s="19">
        <f t="shared" si="32"/>
        <v>0</v>
      </c>
      <c r="P693" s="6"/>
      <c r="Q693" s="8" t="s">
        <v>2526</v>
      </c>
      <c r="R693" s="61"/>
    </row>
    <row r="694" spans="1:18" s="44" customFormat="1" ht="33.75" customHeight="1" outlineLevel="2" x14ac:dyDescent="0.25">
      <c r="A694" s="6" t="s">
        <v>12</v>
      </c>
      <c r="B694" s="8" t="s">
        <v>322</v>
      </c>
      <c r="C694" s="8" t="s">
        <v>42</v>
      </c>
      <c r="D694" s="8" t="s">
        <v>330</v>
      </c>
      <c r="E694" s="8" t="s">
        <v>29</v>
      </c>
      <c r="F694" s="8" t="s">
        <v>154</v>
      </c>
      <c r="G694" s="8" t="s">
        <v>331</v>
      </c>
      <c r="H694" s="6" t="s">
        <v>19</v>
      </c>
      <c r="I694" s="19">
        <v>1527768</v>
      </c>
      <c r="J694" s="19">
        <v>1222214.3999999999</v>
      </c>
      <c r="K694" s="72">
        <v>80</v>
      </c>
      <c r="L694" s="72">
        <f>I694*40%</f>
        <v>611107.20000000007</v>
      </c>
      <c r="M694" s="19">
        <v>611107.19999999995</v>
      </c>
      <c r="N694" s="19">
        <v>611107.19999999995</v>
      </c>
      <c r="O694" s="19">
        <f t="shared" si="32"/>
        <v>0</v>
      </c>
      <c r="P694" s="6"/>
      <c r="Q694" s="8"/>
      <c r="R694" s="61"/>
    </row>
    <row r="695" spans="1:18" s="44" customFormat="1" ht="59.25" customHeight="1" outlineLevel="2" x14ac:dyDescent="0.25">
      <c r="A695" s="6" t="s">
        <v>12</v>
      </c>
      <c r="B695" s="8" t="s">
        <v>2784</v>
      </c>
      <c r="C695" s="39" t="s">
        <v>42</v>
      </c>
      <c r="D695" s="8" t="s">
        <v>353</v>
      </c>
      <c r="E695" s="8" t="s">
        <v>29</v>
      </c>
      <c r="F695" s="8" t="s">
        <v>355</v>
      </c>
      <c r="G695" s="8" t="s">
        <v>354</v>
      </c>
      <c r="H695" s="6" t="s">
        <v>19</v>
      </c>
      <c r="I695" s="19">
        <v>28285544.399999999</v>
      </c>
      <c r="J695" s="19">
        <v>13215744</v>
      </c>
      <c r="K695" s="72">
        <v>12</v>
      </c>
      <c r="L695" s="37">
        <v>13215744</v>
      </c>
      <c r="M695" s="19">
        <f>3303936+3303936</f>
        <v>6607872</v>
      </c>
      <c r="N695" s="19"/>
      <c r="O695" s="19">
        <f>L695-M695</f>
        <v>6607872</v>
      </c>
      <c r="P695" s="6"/>
      <c r="Q695" s="8" t="s">
        <v>2785</v>
      </c>
      <c r="R695" s="61"/>
    </row>
    <row r="696" spans="1:18" s="44" customFormat="1" ht="43.5" customHeight="1" outlineLevel="2" x14ac:dyDescent="0.25">
      <c r="A696" s="6" t="s">
        <v>12</v>
      </c>
      <c r="B696" s="8" t="s">
        <v>359</v>
      </c>
      <c r="C696" s="39" t="s">
        <v>42</v>
      </c>
      <c r="D696" s="8" t="s">
        <v>366</v>
      </c>
      <c r="E696" s="8" t="s">
        <v>29</v>
      </c>
      <c r="F696" s="8" t="s">
        <v>367</v>
      </c>
      <c r="G696" s="8" t="s">
        <v>117</v>
      </c>
      <c r="H696" s="6" t="s">
        <v>19</v>
      </c>
      <c r="I696" s="19">
        <v>84886155.609999999</v>
      </c>
      <c r="J696" s="19">
        <v>41972183.420000002</v>
      </c>
      <c r="K696" s="72">
        <v>49</v>
      </c>
      <c r="L696" s="19">
        <v>41972183.420000002</v>
      </c>
      <c r="M696" s="19">
        <v>41972183.420000002</v>
      </c>
      <c r="N696" s="19"/>
      <c r="O696" s="19">
        <f t="shared" si="32"/>
        <v>0</v>
      </c>
      <c r="P696" s="6"/>
      <c r="Q696" s="8" t="s">
        <v>2099</v>
      </c>
      <c r="R696" s="61"/>
    </row>
    <row r="697" spans="1:18" s="44" customFormat="1" ht="48" customHeight="1" outlineLevel="2" x14ac:dyDescent="0.25">
      <c r="A697" s="6" t="s">
        <v>12</v>
      </c>
      <c r="B697" s="8" t="s">
        <v>373</v>
      </c>
      <c r="C697" s="8" t="s">
        <v>42</v>
      </c>
      <c r="D697" s="8" t="s">
        <v>374</v>
      </c>
      <c r="E697" s="8" t="s">
        <v>29</v>
      </c>
      <c r="F697" s="8" t="s">
        <v>191</v>
      </c>
      <c r="G697" s="8" t="s">
        <v>375</v>
      </c>
      <c r="H697" s="6" t="s">
        <v>19</v>
      </c>
      <c r="I697" s="19">
        <v>644112</v>
      </c>
      <c r="J697" s="19">
        <v>644112</v>
      </c>
      <c r="K697" s="72">
        <v>100</v>
      </c>
      <c r="L697" s="19">
        <v>644112</v>
      </c>
      <c r="M697" s="19">
        <v>644112</v>
      </c>
      <c r="N697" s="19"/>
      <c r="O697" s="19">
        <f t="shared" si="32"/>
        <v>0</v>
      </c>
      <c r="P697" s="6"/>
      <c r="Q697" s="8" t="s">
        <v>2033</v>
      </c>
      <c r="R697" s="61"/>
    </row>
    <row r="698" spans="1:18" s="44" customFormat="1" ht="22.5" customHeight="1" outlineLevel="2" x14ac:dyDescent="0.25">
      <c r="A698" s="6" t="s">
        <v>12</v>
      </c>
      <c r="B698" s="8" t="s">
        <v>381</v>
      </c>
      <c r="C698" s="8" t="s">
        <v>42</v>
      </c>
      <c r="D698" s="8" t="s">
        <v>382</v>
      </c>
      <c r="E698" s="8" t="s">
        <v>29</v>
      </c>
      <c r="F698" s="8" t="s">
        <v>383</v>
      </c>
      <c r="G698" s="8" t="s">
        <v>203</v>
      </c>
      <c r="H698" s="6" t="s">
        <v>2715</v>
      </c>
      <c r="I698" s="19">
        <v>435114529.92000002</v>
      </c>
      <c r="J698" s="19">
        <v>348091623.93600005</v>
      </c>
      <c r="K698" s="72">
        <v>1</v>
      </c>
      <c r="L698" s="37">
        <v>174045811.96000001</v>
      </c>
      <c r="M698" s="19">
        <v>174045811.96000001</v>
      </c>
      <c r="N698" s="19"/>
      <c r="O698" s="19">
        <v>0</v>
      </c>
      <c r="P698" s="6"/>
      <c r="Q698" s="8" t="s">
        <v>2100</v>
      </c>
      <c r="R698" s="61"/>
    </row>
    <row r="699" spans="1:18" s="44" customFormat="1" ht="36.75" customHeight="1" outlineLevel="2" x14ac:dyDescent="0.25">
      <c r="A699" s="6" t="s">
        <v>12</v>
      </c>
      <c r="B699" s="8" t="s">
        <v>414</v>
      </c>
      <c r="C699" s="8" t="s">
        <v>42</v>
      </c>
      <c r="D699" s="8" t="s">
        <v>415</v>
      </c>
      <c r="E699" s="8" t="s">
        <v>29</v>
      </c>
      <c r="F699" s="8" t="s">
        <v>416</v>
      </c>
      <c r="G699" s="8" t="s">
        <v>99</v>
      </c>
      <c r="H699" s="6" t="s">
        <v>19</v>
      </c>
      <c r="I699" s="19">
        <v>397247769.38</v>
      </c>
      <c r="J699" s="19">
        <v>317798215.50999999</v>
      </c>
      <c r="K699" s="72">
        <v>10</v>
      </c>
      <c r="L699" s="37">
        <v>138554594.5</v>
      </c>
      <c r="M699" s="19">
        <v>138554594.5</v>
      </c>
      <c r="N699" s="19"/>
      <c r="O699" s="19">
        <f t="shared" ref="O699:O762" si="33">L699-M699</f>
        <v>0</v>
      </c>
      <c r="P699" s="82"/>
      <c r="Q699" s="8" t="s">
        <v>1975</v>
      </c>
      <c r="R699" s="61"/>
    </row>
    <row r="700" spans="1:18" s="44" customFormat="1" ht="22.5" customHeight="1" outlineLevel="2" x14ac:dyDescent="0.25">
      <c r="A700" s="6" t="s">
        <v>12</v>
      </c>
      <c r="B700" s="8" t="s">
        <v>489</v>
      </c>
      <c r="C700" s="8" t="s">
        <v>42</v>
      </c>
      <c r="D700" s="8" t="s">
        <v>491</v>
      </c>
      <c r="E700" s="8" t="s">
        <v>29</v>
      </c>
      <c r="F700" s="8" t="s">
        <v>191</v>
      </c>
      <c r="G700" s="8" t="s">
        <v>490</v>
      </c>
      <c r="H700" s="6" t="s">
        <v>19</v>
      </c>
      <c r="I700" s="19">
        <v>388268.64</v>
      </c>
      <c r="J700" s="19">
        <v>388268.64</v>
      </c>
      <c r="K700" s="72">
        <v>100</v>
      </c>
      <c r="L700" s="19">
        <v>388268.64</v>
      </c>
      <c r="M700" s="19">
        <v>388268.64</v>
      </c>
      <c r="N700" s="19"/>
      <c r="O700" s="19">
        <f t="shared" si="33"/>
        <v>0</v>
      </c>
      <c r="P700" s="6"/>
      <c r="Q700" s="8" t="s">
        <v>2069</v>
      </c>
      <c r="R700" s="61"/>
    </row>
    <row r="701" spans="1:18" s="44" customFormat="1" ht="22.5" customHeight="1" outlineLevel="2" x14ac:dyDescent="0.25">
      <c r="A701" s="6" t="s">
        <v>12</v>
      </c>
      <c r="B701" s="8" t="s">
        <v>489</v>
      </c>
      <c r="C701" s="8" t="s">
        <v>42</v>
      </c>
      <c r="D701" s="8" t="s">
        <v>492</v>
      </c>
      <c r="E701" s="8" t="s">
        <v>29</v>
      </c>
      <c r="F701" s="8" t="s">
        <v>191</v>
      </c>
      <c r="G701" s="8" t="s">
        <v>493</v>
      </c>
      <c r="H701" s="6" t="s">
        <v>19</v>
      </c>
      <c r="I701" s="19">
        <v>221184</v>
      </c>
      <c r="J701" s="19">
        <v>221184</v>
      </c>
      <c r="K701" s="72">
        <v>100</v>
      </c>
      <c r="L701" s="19">
        <v>221184</v>
      </c>
      <c r="M701" s="19">
        <v>221184</v>
      </c>
      <c r="N701" s="19"/>
      <c r="O701" s="19">
        <f t="shared" si="33"/>
        <v>0</v>
      </c>
      <c r="P701" s="6"/>
      <c r="Q701" s="8" t="s">
        <v>2069</v>
      </c>
      <c r="R701" s="61"/>
    </row>
    <row r="702" spans="1:18" s="44" customFormat="1" ht="40.5" customHeight="1" outlineLevel="2" x14ac:dyDescent="0.25">
      <c r="A702" s="6" t="s">
        <v>12</v>
      </c>
      <c r="B702" s="8" t="s">
        <v>539</v>
      </c>
      <c r="C702" s="8" t="s">
        <v>42</v>
      </c>
      <c r="D702" s="8" t="s">
        <v>540</v>
      </c>
      <c r="E702" s="8" t="s">
        <v>29</v>
      </c>
      <c r="F702" s="8" t="s">
        <v>542</v>
      </c>
      <c r="G702" s="8" t="s">
        <v>541</v>
      </c>
      <c r="H702" s="6" t="s">
        <v>19</v>
      </c>
      <c r="I702" s="19">
        <v>5641554164.2600002</v>
      </c>
      <c r="J702" s="19">
        <v>2589268422.52</v>
      </c>
      <c r="K702" s="72">
        <v>46</v>
      </c>
      <c r="L702" s="19">
        <v>1294634211.26</v>
      </c>
      <c r="M702" s="19">
        <v>1294634211.26</v>
      </c>
      <c r="N702" s="19">
        <v>1294634211.26</v>
      </c>
      <c r="O702" s="19">
        <f t="shared" si="33"/>
        <v>0</v>
      </c>
      <c r="P702" s="6"/>
      <c r="Q702" s="8" t="s">
        <v>1975</v>
      </c>
      <c r="R702" s="61"/>
    </row>
    <row r="703" spans="1:18" s="44" customFormat="1" ht="22.5" customHeight="1" outlineLevel="2" x14ac:dyDescent="0.25">
      <c r="A703" s="6" t="s">
        <v>12</v>
      </c>
      <c r="B703" s="8" t="s">
        <v>569</v>
      </c>
      <c r="C703" s="8" t="s">
        <v>42</v>
      </c>
      <c r="D703" s="8" t="s">
        <v>573</v>
      </c>
      <c r="E703" s="8" t="s">
        <v>29</v>
      </c>
      <c r="F703" s="8" t="s">
        <v>575</v>
      </c>
      <c r="G703" s="8" t="s">
        <v>574</v>
      </c>
      <c r="H703" s="6" t="s">
        <v>19</v>
      </c>
      <c r="I703" s="19">
        <v>155656931.47</v>
      </c>
      <c r="J703" s="19">
        <v>124525545.176</v>
      </c>
      <c r="K703" s="72">
        <v>12</v>
      </c>
      <c r="L703" s="19">
        <v>62262772.579999998</v>
      </c>
      <c r="M703" s="19">
        <v>62262772.579999998</v>
      </c>
      <c r="N703" s="19">
        <v>0</v>
      </c>
      <c r="O703" s="19">
        <f t="shared" si="33"/>
        <v>0</v>
      </c>
      <c r="P703" s="6"/>
      <c r="Q703" s="8" t="s">
        <v>1975</v>
      </c>
      <c r="R703" s="61"/>
    </row>
    <row r="704" spans="1:18" s="44" customFormat="1" ht="48" customHeight="1" outlineLevel="2" x14ac:dyDescent="0.25">
      <c r="A704" s="6" t="s">
        <v>12</v>
      </c>
      <c r="B704" s="8" t="s">
        <v>585</v>
      </c>
      <c r="C704" s="8" t="s">
        <v>42</v>
      </c>
      <c r="D704" s="8" t="s">
        <v>586</v>
      </c>
      <c r="E704" s="8" t="s">
        <v>29</v>
      </c>
      <c r="F704" s="8" t="s">
        <v>587</v>
      </c>
      <c r="G704" s="8" t="s">
        <v>117</v>
      </c>
      <c r="H704" s="6" t="s">
        <v>19</v>
      </c>
      <c r="I704" s="19">
        <v>63059330.399999999</v>
      </c>
      <c r="J704" s="19">
        <v>38831616</v>
      </c>
      <c r="K704" s="72">
        <v>49</v>
      </c>
      <c r="L704" s="19">
        <v>15532646.4</v>
      </c>
      <c r="M704" s="19">
        <v>15532646.4</v>
      </c>
      <c r="N704" s="19">
        <v>23298969.600000001</v>
      </c>
      <c r="O704" s="19">
        <f t="shared" si="33"/>
        <v>0</v>
      </c>
      <c r="P704" s="6"/>
      <c r="Q704" s="8" t="s">
        <v>2101</v>
      </c>
      <c r="R704" s="61"/>
    </row>
    <row r="705" spans="1:18" s="44" customFormat="1" ht="48" customHeight="1" outlineLevel="2" x14ac:dyDescent="0.25">
      <c r="A705" s="6" t="s">
        <v>12</v>
      </c>
      <c r="B705" s="8" t="s">
        <v>601</v>
      </c>
      <c r="C705" s="8" t="s">
        <v>42</v>
      </c>
      <c r="D705" s="8" t="s">
        <v>602</v>
      </c>
      <c r="E705" s="8" t="s">
        <v>29</v>
      </c>
      <c r="F705" s="8" t="s">
        <v>367</v>
      </c>
      <c r="G705" s="8" t="s">
        <v>603</v>
      </c>
      <c r="H705" s="6" t="s">
        <v>19</v>
      </c>
      <c r="I705" s="19">
        <v>45946807.200000003</v>
      </c>
      <c r="J705" s="19">
        <v>34640524.799999997</v>
      </c>
      <c r="K705" s="72">
        <v>75</v>
      </c>
      <c r="L705" s="19">
        <v>17320262.399999999</v>
      </c>
      <c r="M705" s="19">
        <v>17320262.399999999</v>
      </c>
      <c r="N705" s="19">
        <v>17320262.399999999</v>
      </c>
      <c r="O705" s="19">
        <f t="shared" si="33"/>
        <v>0</v>
      </c>
      <c r="P705" s="6"/>
      <c r="Q705" s="8" t="s">
        <v>1982</v>
      </c>
      <c r="R705" s="61"/>
    </row>
    <row r="706" spans="1:18" s="44" customFormat="1" ht="48" customHeight="1" outlineLevel="2" x14ac:dyDescent="0.25">
      <c r="A706" s="6" t="s">
        <v>12</v>
      </c>
      <c r="B706" s="8" t="s">
        <v>585</v>
      </c>
      <c r="C706" s="8" t="s">
        <v>42</v>
      </c>
      <c r="D706" s="8" t="s">
        <v>592</v>
      </c>
      <c r="E706" s="8" t="s">
        <v>29</v>
      </c>
      <c r="F706" s="8"/>
      <c r="G706" s="8" t="s">
        <v>75</v>
      </c>
      <c r="H706" s="6" t="s">
        <v>19</v>
      </c>
      <c r="I706" s="19">
        <v>2592897227.2800002</v>
      </c>
      <c r="J706" s="19">
        <v>2074317781.8240004</v>
      </c>
      <c r="K706" s="72"/>
      <c r="L706" s="19">
        <v>1017630864</v>
      </c>
      <c r="M706" s="19">
        <v>1017630864</v>
      </c>
      <c r="N706" s="19">
        <f>J706-M706</f>
        <v>1056686917.8240004</v>
      </c>
      <c r="O706" s="19">
        <f t="shared" si="33"/>
        <v>0</v>
      </c>
      <c r="P706" s="83"/>
      <c r="Q706" s="8" t="s">
        <v>2075</v>
      </c>
      <c r="R706" s="61"/>
    </row>
    <row r="707" spans="1:18" s="44" customFormat="1" ht="48" customHeight="1" outlineLevel="2" x14ac:dyDescent="0.25">
      <c r="A707" s="6" t="s">
        <v>12</v>
      </c>
      <c r="B707" s="8" t="s">
        <v>610</v>
      </c>
      <c r="C707" s="8" t="s">
        <v>42</v>
      </c>
      <c r="D707" s="8" t="s">
        <v>613</v>
      </c>
      <c r="E707" s="8" t="s">
        <v>29</v>
      </c>
      <c r="F707" s="8" t="s">
        <v>88</v>
      </c>
      <c r="G707" s="8" t="s">
        <v>614</v>
      </c>
      <c r="H707" s="6" t="s">
        <v>19</v>
      </c>
      <c r="I707" s="19">
        <v>228150000</v>
      </c>
      <c r="J707" s="19">
        <v>182520000</v>
      </c>
      <c r="K707" s="72">
        <v>80</v>
      </c>
      <c r="L707" s="72">
        <f>I707*40%</f>
        <v>91260000</v>
      </c>
      <c r="M707" s="19">
        <v>91260000</v>
      </c>
      <c r="N707" s="19">
        <v>91260000</v>
      </c>
      <c r="O707" s="19">
        <f t="shared" si="33"/>
        <v>0</v>
      </c>
      <c r="P707" s="83"/>
      <c r="Q707" s="8" t="s">
        <v>2102</v>
      </c>
      <c r="R707" s="61"/>
    </row>
    <row r="708" spans="1:18" s="44" customFormat="1" ht="48" customHeight="1" outlineLevel="2" x14ac:dyDescent="0.25">
      <c r="A708" s="6" t="s">
        <v>12</v>
      </c>
      <c r="B708" s="8" t="s">
        <v>649</v>
      </c>
      <c r="C708" s="8" t="s">
        <v>42</v>
      </c>
      <c r="D708" s="8" t="s">
        <v>655</v>
      </c>
      <c r="E708" s="8" t="s">
        <v>29</v>
      </c>
      <c r="F708" s="8" t="s">
        <v>656</v>
      </c>
      <c r="G708" s="8" t="s">
        <v>654</v>
      </c>
      <c r="H708" s="6" t="s">
        <v>2715</v>
      </c>
      <c r="I708" s="19">
        <v>757944</v>
      </c>
      <c r="J708" s="19">
        <v>378972</v>
      </c>
      <c r="K708" s="72">
        <v>3</v>
      </c>
      <c r="L708" s="37">
        <v>378972</v>
      </c>
      <c r="M708" s="19">
        <v>378972</v>
      </c>
      <c r="N708" s="19"/>
      <c r="O708" s="19">
        <f t="shared" si="33"/>
        <v>0</v>
      </c>
      <c r="P708" s="6"/>
      <c r="Q708" s="8" t="s">
        <v>2103</v>
      </c>
      <c r="R708" s="61"/>
    </row>
    <row r="709" spans="1:18" s="44" customFormat="1" ht="48" customHeight="1" outlineLevel="2" x14ac:dyDescent="0.25">
      <c r="A709" s="6" t="s">
        <v>12</v>
      </c>
      <c r="B709" s="8" t="s">
        <v>2576</v>
      </c>
      <c r="C709" s="8" t="s">
        <v>42</v>
      </c>
      <c r="D709" s="8" t="s">
        <v>695</v>
      </c>
      <c r="E709" s="8" t="s">
        <v>29</v>
      </c>
      <c r="F709" s="8" t="s">
        <v>593</v>
      </c>
      <c r="G709" s="8" t="s">
        <v>696</v>
      </c>
      <c r="H709" s="6" t="s">
        <v>19</v>
      </c>
      <c r="I709" s="19">
        <v>28694457.510000002</v>
      </c>
      <c r="J709" s="80">
        <v>13173043.970000001</v>
      </c>
      <c r="K709" s="72">
        <v>46</v>
      </c>
      <c r="L709" s="80">
        <v>6586521.9800000004</v>
      </c>
      <c r="M709" s="80">
        <v>6586521.9800000004</v>
      </c>
      <c r="N709" s="80">
        <v>6586521.9900000002</v>
      </c>
      <c r="O709" s="19">
        <f t="shared" si="33"/>
        <v>0</v>
      </c>
      <c r="P709" s="6"/>
      <c r="Q709" s="8" t="s">
        <v>2104</v>
      </c>
      <c r="R709" s="61"/>
    </row>
    <row r="710" spans="1:18" s="44" customFormat="1" ht="48" customHeight="1" outlineLevel="2" x14ac:dyDescent="0.25">
      <c r="A710" s="6" t="s">
        <v>12</v>
      </c>
      <c r="B710" s="8" t="s">
        <v>726</v>
      </c>
      <c r="C710" s="8" t="s">
        <v>42</v>
      </c>
      <c r="D710" s="8" t="s">
        <v>730</v>
      </c>
      <c r="E710" s="8" t="s">
        <v>29</v>
      </c>
      <c r="F710" s="8" t="s">
        <v>88</v>
      </c>
      <c r="G710" s="8" t="s">
        <v>727</v>
      </c>
      <c r="H710" s="6" t="s">
        <v>19</v>
      </c>
      <c r="I710" s="19">
        <v>20645642.879999999</v>
      </c>
      <c r="J710" s="19">
        <v>16516514.304</v>
      </c>
      <c r="K710" s="72">
        <v>80</v>
      </c>
      <c r="L710" s="37">
        <f>I710*40%</f>
        <v>8258257.1519999998</v>
      </c>
      <c r="M710" s="19">
        <v>8258257.1500000004</v>
      </c>
      <c r="N710" s="19">
        <v>12387385.720000001</v>
      </c>
      <c r="O710" s="19">
        <f t="shared" si="33"/>
        <v>1.9999993965029716E-3</v>
      </c>
      <c r="P710" s="74">
        <v>45532</v>
      </c>
      <c r="Q710" s="8" t="s">
        <v>1975</v>
      </c>
      <c r="R710" s="61"/>
    </row>
    <row r="711" spans="1:18" s="44" customFormat="1" ht="48" customHeight="1" outlineLevel="2" x14ac:dyDescent="0.25">
      <c r="A711" s="6" t="s">
        <v>12</v>
      </c>
      <c r="B711" s="8" t="s">
        <v>751</v>
      </c>
      <c r="C711" s="8" t="s">
        <v>42</v>
      </c>
      <c r="D711" s="8" t="s">
        <v>757</v>
      </c>
      <c r="E711" s="8" t="s">
        <v>29</v>
      </c>
      <c r="F711" s="8" t="s">
        <v>593</v>
      </c>
      <c r="G711" s="8" t="s">
        <v>753</v>
      </c>
      <c r="H711" s="6" t="s">
        <v>19</v>
      </c>
      <c r="I711" s="19">
        <v>164386420.75</v>
      </c>
      <c r="J711" s="19">
        <v>75196166.400000006</v>
      </c>
      <c r="K711" s="72">
        <v>46</v>
      </c>
      <c r="L711" s="19">
        <v>37598083.200000003</v>
      </c>
      <c r="M711" s="19">
        <v>37598083.200000003</v>
      </c>
      <c r="N711" s="19">
        <v>37598083.200000003</v>
      </c>
      <c r="O711" s="19">
        <f t="shared" si="33"/>
        <v>0</v>
      </c>
      <c r="P711" s="6"/>
      <c r="Q711" s="8" t="s">
        <v>2105</v>
      </c>
      <c r="R711" s="61"/>
    </row>
    <row r="712" spans="1:18" s="44" customFormat="1" ht="48" customHeight="1" outlineLevel="2" x14ac:dyDescent="0.25">
      <c r="A712" s="6" t="s">
        <v>12</v>
      </c>
      <c r="B712" s="8" t="s">
        <v>793</v>
      </c>
      <c r="C712" s="8" t="s">
        <v>42</v>
      </c>
      <c r="D712" s="8" t="s">
        <v>799</v>
      </c>
      <c r="E712" s="8" t="s">
        <v>29</v>
      </c>
      <c r="F712" s="8" t="s">
        <v>800</v>
      </c>
      <c r="G712" s="8" t="s">
        <v>801</v>
      </c>
      <c r="H712" s="6" t="s">
        <v>2715</v>
      </c>
      <c r="I712" s="19">
        <v>200364356.16</v>
      </c>
      <c r="J712" s="19">
        <v>160291484.928</v>
      </c>
      <c r="K712" s="72">
        <v>4</v>
      </c>
      <c r="L712" s="19">
        <f>I712*0.4</f>
        <v>80145742.464000002</v>
      </c>
      <c r="M712" s="19">
        <v>80145742.464000002</v>
      </c>
      <c r="N712" s="19">
        <v>6678811.8799999999</v>
      </c>
      <c r="O712" s="19">
        <f t="shared" si="33"/>
        <v>0</v>
      </c>
      <c r="P712" s="6"/>
      <c r="Q712" s="8" t="s">
        <v>1975</v>
      </c>
      <c r="R712" s="61"/>
    </row>
    <row r="713" spans="1:18" s="44" customFormat="1" ht="48" customHeight="1" outlineLevel="2" x14ac:dyDescent="0.25">
      <c r="A713" s="6" t="s">
        <v>12</v>
      </c>
      <c r="B713" s="8" t="s">
        <v>818</v>
      </c>
      <c r="C713" s="8" t="s">
        <v>42</v>
      </c>
      <c r="D713" s="8" t="s">
        <v>823</v>
      </c>
      <c r="E713" s="8" t="s">
        <v>29</v>
      </c>
      <c r="F713" s="8" t="s">
        <v>824</v>
      </c>
      <c r="G713" s="8" t="s">
        <v>821</v>
      </c>
      <c r="H713" s="6" t="s">
        <v>2715</v>
      </c>
      <c r="I713" s="80">
        <v>15271914.949999999</v>
      </c>
      <c r="J713" s="80">
        <v>15271914.949999999</v>
      </c>
      <c r="K713" s="72"/>
      <c r="L713" s="80">
        <v>15271914.949999999</v>
      </c>
      <c r="M713" s="80">
        <f>6108765.98+6108765.98+3054382.99</f>
        <v>15271914.950000001</v>
      </c>
      <c r="N713" s="80">
        <f>J713-M713</f>
        <v>0</v>
      </c>
      <c r="O713" s="19">
        <f t="shared" si="33"/>
        <v>0</v>
      </c>
      <c r="P713" s="6"/>
      <c r="Q713" s="8" t="s">
        <v>2534</v>
      </c>
      <c r="R713" s="61"/>
    </row>
    <row r="714" spans="1:18" s="44" customFormat="1" ht="48" customHeight="1" outlineLevel="2" x14ac:dyDescent="0.25">
      <c r="A714" s="6" t="s">
        <v>12</v>
      </c>
      <c r="B714" s="8" t="s">
        <v>844</v>
      </c>
      <c r="C714" s="8" t="s">
        <v>42</v>
      </c>
      <c r="D714" s="8" t="s">
        <v>846</v>
      </c>
      <c r="E714" s="8" t="s">
        <v>29</v>
      </c>
      <c r="F714" s="8" t="s">
        <v>848</v>
      </c>
      <c r="G714" s="8" t="s">
        <v>847</v>
      </c>
      <c r="H714" s="6" t="s">
        <v>19</v>
      </c>
      <c r="I714" s="19">
        <v>436931197.92000002</v>
      </c>
      <c r="J714" s="19">
        <v>349544958.33600003</v>
      </c>
      <c r="K714" s="72">
        <v>11</v>
      </c>
      <c r="L714" s="19">
        <v>174772479.16</v>
      </c>
      <c r="M714" s="19">
        <v>174772479.16</v>
      </c>
      <c r="N714" s="19">
        <f>J714-M714</f>
        <v>174772479.17600003</v>
      </c>
      <c r="O714" s="19">
        <f t="shared" si="33"/>
        <v>0</v>
      </c>
      <c r="P714" s="6"/>
      <c r="Q714" s="8" t="s">
        <v>2074</v>
      </c>
      <c r="R714" s="61"/>
    </row>
    <row r="715" spans="1:18" s="44" customFormat="1" ht="51" customHeight="1" outlineLevel="2" x14ac:dyDescent="0.25">
      <c r="A715" s="6" t="s">
        <v>12</v>
      </c>
      <c r="B715" s="8" t="s">
        <v>2577</v>
      </c>
      <c r="C715" s="8" t="s">
        <v>42</v>
      </c>
      <c r="D715" s="8" t="s">
        <v>914</v>
      </c>
      <c r="E715" s="8" t="s">
        <v>29</v>
      </c>
      <c r="F715" s="8" t="s">
        <v>915</v>
      </c>
      <c r="G715" s="8" t="s">
        <v>117</v>
      </c>
      <c r="H715" s="6" t="s">
        <v>158</v>
      </c>
      <c r="I715" s="19">
        <v>809321997.60000002</v>
      </c>
      <c r="J715" s="80">
        <v>647457598.08000004</v>
      </c>
      <c r="K715" s="72">
        <v>80</v>
      </c>
      <c r="L715" s="80">
        <f>I715*40%</f>
        <v>323728799.04000002</v>
      </c>
      <c r="M715" s="80">
        <v>323728799.04000002</v>
      </c>
      <c r="N715" s="80">
        <v>323728799.04000002</v>
      </c>
      <c r="O715" s="19">
        <f t="shared" si="33"/>
        <v>0</v>
      </c>
      <c r="P715" s="6"/>
      <c r="Q715" s="8" t="s">
        <v>2106</v>
      </c>
      <c r="R715" s="61"/>
    </row>
    <row r="716" spans="1:18" s="44" customFormat="1" ht="33" customHeight="1" outlineLevel="2" x14ac:dyDescent="0.25">
      <c r="A716" s="6" t="s">
        <v>12</v>
      </c>
      <c r="B716" s="8" t="s">
        <v>2577</v>
      </c>
      <c r="C716" s="8" t="s">
        <v>42</v>
      </c>
      <c r="D716" s="8" t="s">
        <v>917</v>
      </c>
      <c r="E716" s="8" t="s">
        <v>29</v>
      </c>
      <c r="F716" s="8" t="s">
        <v>275</v>
      </c>
      <c r="G716" s="8" t="s">
        <v>117</v>
      </c>
      <c r="H716" s="6" t="s">
        <v>276</v>
      </c>
      <c r="I716" s="19">
        <v>99916296</v>
      </c>
      <c r="J716" s="80">
        <v>79933036.799999997</v>
      </c>
      <c r="K716" s="72">
        <v>80</v>
      </c>
      <c r="L716" s="80">
        <f>I716*40%</f>
        <v>39966518.399999999</v>
      </c>
      <c r="M716" s="80">
        <v>39966518.399999999</v>
      </c>
      <c r="N716" s="80">
        <v>39966518.399999999</v>
      </c>
      <c r="O716" s="19">
        <f t="shared" si="33"/>
        <v>0</v>
      </c>
      <c r="P716" s="6"/>
      <c r="Q716" s="8" t="s">
        <v>2106</v>
      </c>
      <c r="R716" s="61"/>
    </row>
    <row r="717" spans="1:18" s="44" customFormat="1" ht="33.75" customHeight="1" outlineLevel="2" x14ac:dyDescent="0.25">
      <c r="A717" s="6" t="s">
        <v>12</v>
      </c>
      <c r="B717" s="8" t="s">
        <v>2577</v>
      </c>
      <c r="C717" s="8" t="s">
        <v>42</v>
      </c>
      <c r="D717" s="8" t="s">
        <v>918</v>
      </c>
      <c r="E717" s="8" t="s">
        <v>29</v>
      </c>
      <c r="F717" s="8" t="s">
        <v>919</v>
      </c>
      <c r="G717" s="8" t="s">
        <v>910</v>
      </c>
      <c r="H717" s="6" t="s">
        <v>279</v>
      </c>
      <c r="I717" s="19">
        <v>889255034.39999998</v>
      </c>
      <c r="J717" s="80">
        <v>711404027.51999998</v>
      </c>
      <c r="K717" s="72">
        <v>80</v>
      </c>
      <c r="L717" s="80">
        <f>I717*40%</f>
        <v>355702013.75999999</v>
      </c>
      <c r="M717" s="80">
        <v>355702013.75999999</v>
      </c>
      <c r="N717" s="80">
        <v>355702013.75999999</v>
      </c>
      <c r="O717" s="19">
        <f t="shared" si="33"/>
        <v>0</v>
      </c>
      <c r="P717" s="6"/>
      <c r="Q717" s="8" t="s">
        <v>2106</v>
      </c>
      <c r="R717" s="61"/>
    </row>
    <row r="718" spans="1:18" s="44" customFormat="1" ht="33.75" customHeight="1" outlineLevel="2" x14ac:dyDescent="0.25">
      <c r="A718" s="6" t="s">
        <v>12</v>
      </c>
      <c r="B718" s="8" t="s">
        <v>924</v>
      </c>
      <c r="C718" s="8" t="s">
        <v>42</v>
      </c>
      <c r="D718" s="8" t="s">
        <v>931</v>
      </c>
      <c r="E718" s="8" t="s">
        <v>29</v>
      </c>
      <c r="F718" s="8" t="s">
        <v>191</v>
      </c>
      <c r="G718" s="8" t="s">
        <v>926</v>
      </c>
      <c r="H718" s="6" t="s">
        <v>19</v>
      </c>
      <c r="I718" s="19">
        <v>429935.04</v>
      </c>
      <c r="J718" s="19">
        <v>429935.04</v>
      </c>
      <c r="K718" s="72">
        <v>100</v>
      </c>
      <c r="L718" s="19">
        <v>429935.04</v>
      </c>
      <c r="M718" s="19">
        <v>429935.04</v>
      </c>
      <c r="N718" s="19"/>
      <c r="O718" s="19">
        <f t="shared" si="33"/>
        <v>0</v>
      </c>
      <c r="P718" s="6"/>
      <c r="Q718" s="8" t="s">
        <v>2096</v>
      </c>
      <c r="R718" s="61"/>
    </row>
    <row r="719" spans="1:18" s="44" customFormat="1" ht="33.75" customHeight="1" outlineLevel="2" x14ac:dyDescent="0.25">
      <c r="A719" s="6" t="s">
        <v>12</v>
      </c>
      <c r="B719" s="8" t="s">
        <v>936</v>
      </c>
      <c r="C719" s="8" t="s">
        <v>42</v>
      </c>
      <c r="D719" s="8" t="s">
        <v>942</v>
      </c>
      <c r="E719" s="8" t="s">
        <v>29</v>
      </c>
      <c r="F719" s="8" t="s">
        <v>943</v>
      </c>
      <c r="G719" s="8" t="s">
        <v>937</v>
      </c>
      <c r="H719" s="6" t="s">
        <v>158</v>
      </c>
      <c r="I719" s="19">
        <v>3551688</v>
      </c>
      <c r="J719" s="19">
        <v>2841350.4</v>
      </c>
      <c r="K719" s="72">
        <v>80</v>
      </c>
      <c r="L719" s="72">
        <f>I719*40%</f>
        <v>1420675.2000000002</v>
      </c>
      <c r="M719" s="19"/>
      <c r="N719" s="19">
        <v>2841350.4</v>
      </c>
      <c r="O719" s="19">
        <f t="shared" si="33"/>
        <v>1420675.2000000002</v>
      </c>
      <c r="P719" s="6" t="s">
        <v>2107</v>
      </c>
      <c r="Q719" s="8" t="s">
        <v>2963</v>
      </c>
      <c r="R719" s="61"/>
    </row>
    <row r="720" spans="1:18" s="44" customFormat="1" ht="45" customHeight="1" outlineLevel="2" x14ac:dyDescent="0.25">
      <c r="A720" s="6" t="s">
        <v>12</v>
      </c>
      <c r="B720" s="8" t="s">
        <v>936</v>
      </c>
      <c r="C720" s="8" t="s">
        <v>42</v>
      </c>
      <c r="D720" s="8" t="s">
        <v>944</v>
      </c>
      <c r="E720" s="8" t="s">
        <v>29</v>
      </c>
      <c r="F720" s="8" t="s">
        <v>919</v>
      </c>
      <c r="G720" s="8" t="s">
        <v>937</v>
      </c>
      <c r="H720" s="6" t="s">
        <v>279</v>
      </c>
      <c r="I720" s="19">
        <v>3902472</v>
      </c>
      <c r="J720" s="37">
        <v>3121977.6</v>
      </c>
      <c r="K720" s="72">
        <v>80</v>
      </c>
      <c r="L720" s="72">
        <f>I720*40%</f>
        <v>1560988.8</v>
      </c>
      <c r="M720" s="37"/>
      <c r="N720" s="37">
        <v>3121977.6</v>
      </c>
      <c r="O720" s="37">
        <f t="shared" si="33"/>
        <v>1560988.8</v>
      </c>
      <c r="P720" s="6" t="s">
        <v>2107</v>
      </c>
      <c r="Q720" s="8" t="s">
        <v>2963</v>
      </c>
      <c r="R720" s="61"/>
    </row>
    <row r="721" spans="1:18" s="44" customFormat="1" ht="33.75" customHeight="1" outlineLevel="2" x14ac:dyDescent="0.25">
      <c r="A721" s="6" t="s">
        <v>12</v>
      </c>
      <c r="B721" s="8" t="s">
        <v>947</v>
      </c>
      <c r="C721" s="8" t="s">
        <v>42</v>
      </c>
      <c r="D721" s="8" t="s">
        <v>949</v>
      </c>
      <c r="E721" s="8" t="s">
        <v>29</v>
      </c>
      <c r="F721" s="8" t="s">
        <v>951</v>
      </c>
      <c r="G721" s="8" t="s">
        <v>950</v>
      </c>
      <c r="H721" s="6" t="s">
        <v>276</v>
      </c>
      <c r="I721" s="19">
        <v>7064729.2800000003</v>
      </c>
      <c r="J721" s="19">
        <v>5651783.4240000006</v>
      </c>
      <c r="K721" s="72">
        <v>1</v>
      </c>
      <c r="L721" s="72">
        <f>J721/2</f>
        <v>2825891.7120000003</v>
      </c>
      <c r="M721" s="19">
        <v>1412945.8959999999</v>
      </c>
      <c r="N721" s="19">
        <f>J721-M721</f>
        <v>4238837.5280000009</v>
      </c>
      <c r="O721" s="19">
        <f t="shared" si="33"/>
        <v>1412945.8160000003</v>
      </c>
      <c r="P721" s="8" t="s">
        <v>2031</v>
      </c>
      <c r="Q721" s="8" t="s">
        <v>2716</v>
      </c>
      <c r="R721" s="61"/>
    </row>
    <row r="722" spans="1:18" s="44" customFormat="1" ht="45" customHeight="1" outlineLevel="2" x14ac:dyDescent="0.25">
      <c r="A722" s="6" t="s">
        <v>12</v>
      </c>
      <c r="B722" s="8" t="s">
        <v>955</v>
      </c>
      <c r="C722" s="8" t="s">
        <v>42</v>
      </c>
      <c r="D722" s="8" t="s">
        <v>960</v>
      </c>
      <c r="E722" s="8" t="s">
        <v>29</v>
      </c>
      <c r="F722" s="8" t="s">
        <v>88</v>
      </c>
      <c r="G722" s="8" t="s">
        <v>956</v>
      </c>
      <c r="H722" s="6" t="s">
        <v>19</v>
      </c>
      <c r="I722" s="19">
        <v>15771672</v>
      </c>
      <c r="J722" s="19">
        <v>12617337.6</v>
      </c>
      <c r="K722" s="72">
        <v>80</v>
      </c>
      <c r="L722" s="72">
        <f>I722*40%</f>
        <v>6308668.8000000007</v>
      </c>
      <c r="M722" s="19">
        <v>6308668.7999999998</v>
      </c>
      <c r="N722" s="19">
        <v>6308668.7999999998</v>
      </c>
      <c r="O722" s="19">
        <f t="shared" si="33"/>
        <v>0</v>
      </c>
      <c r="P722" s="6"/>
      <c r="Q722" s="8" t="s">
        <v>1975</v>
      </c>
      <c r="R722" s="61"/>
    </row>
    <row r="723" spans="1:18" s="44" customFormat="1" ht="22.5" customHeight="1" outlineLevel="2" x14ac:dyDescent="0.25">
      <c r="A723" s="6" t="s">
        <v>12</v>
      </c>
      <c r="B723" s="8" t="s">
        <v>976</v>
      </c>
      <c r="C723" s="8" t="s">
        <v>42</v>
      </c>
      <c r="D723" s="8" t="s">
        <v>978</v>
      </c>
      <c r="E723" s="8" t="s">
        <v>29</v>
      </c>
      <c r="F723" s="8" t="s">
        <v>191</v>
      </c>
      <c r="G723" s="8" t="s">
        <v>977</v>
      </c>
      <c r="H723" s="6" t="s">
        <v>19</v>
      </c>
      <c r="I723" s="19">
        <v>1575000</v>
      </c>
      <c r="J723" s="19">
        <v>1575000</v>
      </c>
      <c r="K723" s="72">
        <v>100</v>
      </c>
      <c r="L723" s="37">
        <v>1575000</v>
      </c>
      <c r="M723" s="19">
        <v>1575000</v>
      </c>
      <c r="N723" s="19"/>
      <c r="O723" s="19">
        <f t="shared" si="33"/>
        <v>0</v>
      </c>
      <c r="P723" s="6"/>
      <c r="Q723" s="8" t="s">
        <v>2109</v>
      </c>
      <c r="R723" s="61"/>
    </row>
    <row r="724" spans="1:18" s="44" customFormat="1" ht="43.5" customHeight="1" outlineLevel="2" x14ac:dyDescent="0.25">
      <c r="A724" s="6" t="s">
        <v>12</v>
      </c>
      <c r="B724" s="8" t="s">
        <v>983</v>
      </c>
      <c r="C724" s="8" t="s">
        <v>42</v>
      </c>
      <c r="D724" s="8" t="s">
        <v>984</v>
      </c>
      <c r="E724" s="8" t="s">
        <v>29</v>
      </c>
      <c r="F724" s="8" t="s">
        <v>985</v>
      </c>
      <c r="G724" s="8" t="s">
        <v>986</v>
      </c>
      <c r="H724" s="6" t="s">
        <v>19</v>
      </c>
      <c r="I724" s="19">
        <v>6953243220</v>
      </c>
      <c r="J724" s="19">
        <v>3476621610</v>
      </c>
      <c r="K724" s="72">
        <v>50</v>
      </c>
      <c r="L724" s="72">
        <f>I724*40%</f>
        <v>2781297288</v>
      </c>
      <c r="M724" s="19">
        <v>2781297288</v>
      </c>
      <c r="N724" s="19">
        <v>695324322</v>
      </c>
      <c r="O724" s="19">
        <f t="shared" si="33"/>
        <v>0</v>
      </c>
      <c r="P724" s="6"/>
      <c r="Q724" s="8" t="s">
        <v>2074</v>
      </c>
      <c r="R724" s="61"/>
    </row>
    <row r="725" spans="1:18" s="44" customFormat="1" ht="52.5" customHeight="1" outlineLevel="2" x14ac:dyDescent="0.25">
      <c r="A725" s="6" t="s">
        <v>12</v>
      </c>
      <c r="B725" s="8" t="s">
        <v>990</v>
      </c>
      <c r="C725" s="8" t="s">
        <v>42</v>
      </c>
      <c r="D725" s="8" t="s">
        <v>993</v>
      </c>
      <c r="E725" s="8" t="s">
        <v>29</v>
      </c>
      <c r="F725" s="8" t="s">
        <v>995</v>
      </c>
      <c r="G725" s="8" t="s">
        <v>994</v>
      </c>
      <c r="H725" s="6" t="s">
        <v>19</v>
      </c>
      <c r="I725" s="19">
        <v>5793449.4000000004</v>
      </c>
      <c r="J725" s="80">
        <v>3039223.68</v>
      </c>
      <c r="K725" s="72">
        <v>52</v>
      </c>
      <c r="L725" s="80">
        <f>M725*2</f>
        <v>1215689.48</v>
      </c>
      <c r="M725" s="80">
        <v>607844.74</v>
      </c>
      <c r="N725" s="80">
        <v>2431378.94</v>
      </c>
      <c r="O725" s="19">
        <f t="shared" si="33"/>
        <v>607844.74</v>
      </c>
      <c r="P725" s="74">
        <v>45545</v>
      </c>
      <c r="Q725" s="8" t="s">
        <v>2964</v>
      </c>
      <c r="R725" s="61"/>
    </row>
    <row r="726" spans="1:18" s="44" customFormat="1" ht="27" customHeight="1" outlineLevel="2" x14ac:dyDescent="0.25">
      <c r="A726" s="6" t="s">
        <v>12</v>
      </c>
      <c r="B726" s="8" t="s">
        <v>2717</v>
      </c>
      <c r="C726" s="8" t="s">
        <v>42</v>
      </c>
      <c r="D726" s="8" t="s">
        <v>1023</v>
      </c>
      <c r="E726" s="8" t="s">
        <v>29</v>
      </c>
      <c r="F726" s="39" t="s">
        <v>1024</v>
      </c>
      <c r="G726" s="39" t="s">
        <v>692</v>
      </c>
      <c r="H726" s="39" t="s">
        <v>279</v>
      </c>
      <c r="I726" s="80">
        <v>2076405.6</v>
      </c>
      <c r="J726" s="80">
        <v>1661124.48</v>
      </c>
      <c r="K726" s="72">
        <v>80</v>
      </c>
      <c r="L726" s="80">
        <v>830562.24</v>
      </c>
      <c r="M726" s="80">
        <v>0</v>
      </c>
      <c r="N726" s="80">
        <v>1661124.48</v>
      </c>
      <c r="O726" s="80">
        <f t="shared" si="33"/>
        <v>830562.24</v>
      </c>
      <c r="P726" s="84">
        <v>45542</v>
      </c>
      <c r="Q726" s="8" t="s">
        <v>2718</v>
      </c>
      <c r="R726" s="61"/>
    </row>
    <row r="727" spans="1:18" s="44" customFormat="1" ht="31.5" customHeight="1" outlineLevel="2" x14ac:dyDescent="0.25">
      <c r="A727" s="6" t="s">
        <v>12</v>
      </c>
      <c r="B727" s="8" t="s">
        <v>2717</v>
      </c>
      <c r="C727" s="8" t="s">
        <v>42</v>
      </c>
      <c r="D727" s="8" t="s">
        <v>1027</v>
      </c>
      <c r="E727" s="8" t="s">
        <v>29</v>
      </c>
      <c r="F727" s="39" t="s">
        <v>275</v>
      </c>
      <c r="G727" s="39" t="s">
        <v>692</v>
      </c>
      <c r="H727" s="39" t="s">
        <v>276</v>
      </c>
      <c r="I727" s="80">
        <v>243398.64</v>
      </c>
      <c r="J727" s="80">
        <v>194718.91</v>
      </c>
      <c r="K727" s="72">
        <v>80</v>
      </c>
      <c r="L727" s="80">
        <v>194718.91</v>
      </c>
      <c r="M727" s="80">
        <v>194718.91</v>
      </c>
      <c r="N727" s="80">
        <f>J727-M727</f>
        <v>0</v>
      </c>
      <c r="O727" s="19">
        <f t="shared" si="33"/>
        <v>0</v>
      </c>
      <c r="P727" s="12"/>
      <c r="Q727" s="8" t="s">
        <v>2110</v>
      </c>
      <c r="R727" s="61"/>
    </row>
    <row r="728" spans="1:18" s="44" customFormat="1" ht="45" customHeight="1" outlineLevel="2" x14ac:dyDescent="0.25">
      <c r="A728" s="6" t="s">
        <v>12</v>
      </c>
      <c r="B728" s="8" t="s">
        <v>2717</v>
      </c>
      <c r="C728" s="8" t="s">
        <v>42</v>
      </c>
      <c r="D728" s="8" t="s">
        <v>1028</v>
      </c>
      <c r="E728" s="8" t="s">
        <v>29</v>
      </c>
      <c r="F728" s="39" t="s">
        <v>943</v>
      </c>
      <c r="G728" s="39" t="s">
        <v>692</v>
      </c>
      <c r="H728" s="39" t="s">
        <v>158</v>
      </c>
      <c r="I728" s="80">
        <v>1971528.98</v>
      </c>
      <c r="J728" s="80">
        <v>1577223.18</v>
      </c>
      <c r="K728" s="72">
        <v>80</v>
      </c>
      <c r="L728" s="80">
        <f>I728*40%</f>
        <v>788611.59200000006</v>
      </c>
      <c r="M728" s="80">
        <v>0</v>
      </c>
      <c r="N728" s="80">
        <v>1577223.18</v>
      </c>
      <c r="O728" s="80">
        <f t="shared" si="33"/>
        <v>788611.59200000006</v>
      </c>
      <c r="P728" s="12"/>
      <c r="Q728" s="8" t="s">
        <v>2719</v>
      </c>
      <c r="R728" s="61"/>
    </row>
    <row r="729" spans="1:18" s="44" customFormat="1" ht="43.5" customHeight="1" outlineLevel="2" x14ac:dyDescent="0.25">
      <c r="A729" s="6" t="s">
        <v>12</v>
      </c>
      <c r="B729" s="8" t="s">
        <v>1030</v>
      </c>
      <c r="C729" s="8" t="s">
        <v>42</v>
      </c>
      <c r="D729" s="8" t="s">
        <v>1034</v>
      </c>
      <c r="E729" s="8" t="s">
        <v>29</v>
      </c>
      <c r="F729" s="8" t="s">
        <v>214</v>
      </c>
      <c r="G729" s="8" t="s">
        <v>1035</v>
      </c>
      <c r="H729" s="6" t="s">
        <v>19</v>
      </c>
      <c r="I729" s="19">
        <v>1047748474.95</v>
      </c>
      <c r="J729" s="37">
        <v>450165102.33999997</v>
      </c>
      <c r="K729" s="72">
        <v>43</v>
      </c>
      <c r="L729" s="72">
        <v>225082551.16999999</v>
      </c>
      <c r="M729" s="37">
        <v>225082551.16999999</v>
      </c>
      <c r="N729" s="37">
        <v>225082551.16999999</v>
      </c>
      <c r="O729" s="37">
        <f t="shared" si="33"/>
        <v>0</v>
      </c>
      <c r="P729" s="82">
        <v>45536</v>
      </c>
      <c r="Q729" s="8" t="s">
        <v>2720</v>
      </c>
      <c r="R729" s="61"/>
    </row>
    <row r="730" spans="1:18" s="44" customFormat="1" ht="34.5" customHeight="1" outlineLevel="2" x14ac:dyDescent="0.25">
      <c r="A730" s="6" t="s">
        <v>12</v>
      </c>
      <c r="B730" s="8" t="s">
        <v>1049</v>
      </c>
      <c r="C730" s="8" t="s">
        <v>42</v>
      </c>
      <c r="D730" s="8" t="s">
        <v>1053</v>
      </c>
      <c r="E730" s="8" t="s">
        <v>29</v>
      </c>
      <c r="F730" s="8" t="s">
        <v>191</v>
      </c>
      <c r="G730" s="8" t="s">
        <v>1051</v>
      </c>
      <c r="H730" s="6" t="s">
        <v>19</v>
      </c>
      <c r="I730" s="19">
        <v>932590.8</v>
      </c>
      <c r="J730" s="37">
        <v>932590.8</v>
      </c>
      <c r="K730" s="72">
        <v>100</v>
      </c>
      <c r="L730" s="72">
        <f>I730*40%</f>
        <v>373036.32000000007</v>
      </c>
      <c r="M730" s="37">
        <v>373036.32</v>
      </c>
      <c r="N730" s="37">
        <v>559554.48</v>
      </c>
      <c r="O730" s="37">
        <f t="shared" si="33"/>
        <v>0</v>
      </c>
      <c r="P730" s="6"/>
      <c r="Q730" s="8"/>
      <c r="R730" s="61"/>
    </row>
    <row r="731" spans="1:18" s="44" customFormat="1" ht="33" customHeight="1" outlineLevel="2" x14ac:dyDescent="0.25">
      <c r="A731" s="6" t="s">
        <v>12</v>
      </c>
      <c r="B731" s="8" t="s">
        <v>1061</v>
      </c>
      <c r="C731" s="8" t="s">
        <v>42</v>
      </c>
      <c r="D731" s="8" t="s">
        <v>1063</v>
      </c>
      <c r="E731" s="8" t="s">
        <v>29</v>
      </c>
      <c r="F731" s="8" t="s">
        <v>275</v>
      </c>
      <c r="G731" s="8" t="s">
        <v>1062</v>
      </c>
      <c r="H731" s="6" t="s">
        <v>2715</v>
      </c>
      <c r="I731" s="19">
        <v>1171584</v>
      </c>
      <c r="J731" s="37">
        <f>I731*0.8</f>
        <v>937267.20000000007</v>
      </c>
      <c r="K731" s="72">
        <v>4</v>
      </c>
      <c r="L731" s="37">
        <v>937267.19999999995</v>
      </c>
      <c r="M731" s="37">
        <v>937267.19999999995</v>
      </c>
      <c r="N731" s="37"/>
      <c r="O731" s="37">
        <f t="shared" si="33"/>
        <v>0</v>
      </c>
      <c r="P731" s="6"/>
      <c r="Q731" s="8" t="s">
        <v>2111</v>
      </c>
      <c r="R731" s="61"/>
    </row>
    <row r="732" spans="1:18" s="44" customFormat="1" ht="44.25" customHeight="1" outlineLevel="2" x14ac:dyDescent="0.25">
      <c r="A732" s="6" t="s">
        <v>12</v>
      </c>
      <c r="B732" s="8" t="s">
        <v>1068</v>
      </c>
      <c r="C732" s="8" t="s">
        <v>42</v>
      </c>
      <c r="D732" s="8" t="s">
        <v>1074</v>
      </c>
      <c r="E732" s="8" t="s">
        <v>29</v>
      </c>
      <c r="F732" s="8" t="s">
        <v>593</v>
      </c>
      <c r="G732" s="8" t="s">
        <v>75</v>
      </c>
      <c r="H732" s="6" t="s">
        <v>19</v>
      </c>
      <c r="I732" s="19">
        <v>3659712782.46</v>
      </c>
      <c r="J732" s="19">
        <v>1679653769.76</v>
      </c>
      <c r="K732" s="72">
        <v>46</v>
      </c>
      <c r="L732" s="37">
        <v>839826884.88</v>
      </c>
      <c r="M732" s="19">
        <v>839826884.88</v>
      </c>
      <c r="N732" s="19">
        <v>839826884.88</v>
      </c>
      <c r="O732" s="19">
        <f t="shared" si="33"/>
        <v>0</v>
      </c>
      <c r="P732" s="6"/>
      <c r="Q732" s="8" t="s">
        <v>2112</v>
      </c>
      <c r="R732" s="61"/>
    </row>
    <row r="733" spans="1:18" s="44" customFormat="1" ht="33.75" customHeight="1" outlineLevel="2" x14ac:dyDescent="0.25">
      <c r="A733" s="6" t="s">
        <v>12</v>
      </c>
      <c r="B733" s="8" t="s">
        <v>1090</v>
      </c>
      <c r="C733" s="8" t="s">
        <v>42</v>
      </c>
      <c r="D733" s="8" t="s">
        <v>1091</v>
      </c>
      <c r="E733" s="8" t="s">
        <v>29</v>
      </c>
      <c r="F733" s="8" t="s">
        <v>1092</v>
      </c>
      <c r="G733" s="8" t="s">
        <v>1093</v>
      </c>
      <c r="H733" s="6" t="s">
        <v>19</v>
      </c>
      <c r="I733" s="19">
        <v>47520</v>
      </c>
      <c r="J733" s="19">
        <v>47520</v>
      </c>
      <c r="K733" s="72">
        <v>100</v>
      </c>
      <c r="L733" s="37">
        <v>47520</v>
      </c>
      <c r="M733" s="19">
        <v>47520</v>
      </c>
      <c r="N733" s="19"/>
      <c r="O733" s="19">
        <f t="shared" si="33"/>
        <v>0</v>
      </c>
      <c r="P733" s="6"/>
      <c r="Q733" s="8" t="s">
        <v>2113</v>
      </c>
      <c r="R733" s="61"/>
    </row>
    <row r="734" spans="1:18" s="44" customFormat="1" ht="33.75" customHeight="1" outlineLevel="2" x14ac:dyDescent="0.25">
      <c r="A734" s="6" t="s">
        <v>12</v>
      </c>
      <c r="B734" s="8" t="s">
        <v>1141</v>
      </c>
      <c r="C734" s="8" t="s">
        <v>42</v>
      </c>
      <c r="D734" s="8" t="s">
        <v>1146</v>
      </c>
      <c r="E734" s="8" t="s">
        <v>29</v>
      </c>
      <c r="F734" s="8" t="s">
        <v>1024</v>
      </c>
      <c r="G734" s="8" t="s">
        <v>1147</v>
      </c>
      <c r="H734" s="6" t="s">
        <v>279</v>
      </c>
      <c r="I734" s="19">
        <v>47924073.5</v>
      </c>
      <c r="J734" s="19">
        <v>38339258.799999997</v>
      </c>
      <c r="K734" s="72">
        <v>80</v>
      </c>
      <c r="L734" s="72">
        <f>I734*40%</f>
        <v>19169629.400000002</v>
      </c>
      <c r="M734" s="19">
        <v>19169629.399999999</v>
      </c>
      <c r="N734" s="19">
        <v>19169629.399999999</v>
      </c>
      <c r="O734" s="19">
        <f t="shared" si="33"/>
        <v>0</v>
      </c>
      <c r="P734" s="6"/>
      <c r="Q734" s="8" t="s">
        <v>2114</v>
      </c>
      <c r="R734" s="61"/>
    </row>
    <row r="735" spans="1:18" s="44" customFormat="1" ht="22.5" customHeight="1" outlineLevel="2" x14ac:dyDescent="0.25">
      <c r="A735" s="6" t="s">
        <v>12</v>
      </c>
      <c r="B735" s="8" t="s">
        <v>1141</v>
      </c>
      <c r="C735" s="8" t="s">
        <v>42</v>
      </c>
      <c r="D735" s="8" t="s">
        <v>1148</v>
      </c>
      <c r="E735" s="8" t="s">
        <v>29</v>
      </c>
      <c r="F735" s="8" t="s">
        <v>915</v>
      </c>
      <c r="G735" s="8" t="s">
        <v>1147</v>
      </c>
      <c r="H735" s="6" t="s">
        <v>158</v>
      </c>
      <c r="I735" s="19">
        <v>43616291.619999997</v>
      </c>
      <c r="J735" s="19">
        <v>34893033.299999997</v>
      </c>
      <c r="K735" s="72">
        <v>80</v>
      </c>
      <c r="L735" s="37">
        <v>17446516.640000001</v>
      </c>
      <c r="M735" s="19">
        <v>17446516.640000001</v>
      </c>
      <c r="N735" s="19">
        <v>17446516.66</v>
      </c>
      <c r="O735" s="19">
        <f t="shared" si="33"/>
        <v>0</v>
      </c>
      <c r="P735" s="6"/>
      <c r="Q735" s="8" t="s">
        <v>2114</v>
      </c>
      <c r="R735" s="61"/>
    </row>
    <row r="736" spans="1:18" s="44" customFormat="1" ht="22.5" customHeight="1" outlineLevel="2" x14ac:dyDescent="0.25">
      <c r="A736" s="6" t="s">
        <v>12</v>
      </c>
      <c r="B736" s="8" t="s">
        <v>1141</v>
      </c>
      <c r="C736" s="8" t="s">
        <v>42</v>
      </c>
      <c r="D736" s="8" t="s">
        <v>1149</v>
      </c>
      <c r="E736" s="8" t="s">
        <v>29</v>
      </c>
      <c r="F736" s="8" t="s">
        <v>800</v>
      </c>
      <c r="G736" s="8" t="s">
        <v>1147</v>
      </c>
      <c r="H736" s="6" t="s">
        <v>276</v>
      </c>
      <c r="I736" s="19">
        <v>5384727.3600000003</v>
      </c>
      <c r="J736" s="19">
        <v>4307781.8899999997</v>
      </c>
      <c r="K736" s="72">
        <v>80</v>
      </c>
      <c r="L736" s="37">
        <v>2153890.94</v>
      </c>
      <c r="M736" s="19">
        <v>2153890.94</v>
      </c>
      <c r="N736" s="19">
        <v>2153890.9500000002</v>
      </c>
      <c r="O736" s="19">
        <f t="shared" si="33"/>
        <v>0</v>
      </c>
      <c r="P736" s="6"/>
      <c r="Q736" s="8" t="s">
        <v>2114</v>
      </c>
      <c r="R736" s="61"/>
    </row>
    <row r="737" spans="1:18" s="44" customFormat="1" ht="22.5" customHeight="1" outlineLevel="2" x14ac:dyDescent="0.25">
      <c r="A737" s="6" t="s">
        <v>12</v>
      </c>
      <c r="B737" s="8" t="s">
        <v>1154</v>
      </c>
      <c r="C737" s="8" t="s">
        <v>42</v>
      </c>
      <c r="D737" s="8" t="s">
        <v>1156</v>
      </c>
      <c r="E737" s="8" t="s">
        <v>29</v>
      </c>
      <c r="F737" s="16" t="s">
        <v>1157</v>
      </c>
      <c r="G737" s="8" t="s">
        <v>1155</v>
      </c>
      <c r="H737" s="6" t="s">
        <v>2715</v>
      </c>
      <c r="I737" s="19">
        <v>15645312</v>
      </c>
      <c r="J737" s="19">
        <v>12516249.600000001</v>
      </c>
      <c r="K737" s="72">
        <v>3</v>
      </c>
      <c r="L737" s="72">
        <f>I737*40%</f>
        <v>6258124.8000000007</v>
      </c>
      <c r="M737" s="19">
        <v>6258124.7999999998</v>
      </c>
      <c r="N737" s="19">
        <f>J737-M737</f>
        <v>6258124.8000000017</v>
      </c>
      <c r="O737" s="19">
        <f t="shared" si="33"/>
        <v>0</v>
      </c>
      <c r="P737" s="6"/>
      <c r="Q737" s="8" t="s">
        <v>2420</v>
      </c>
      <c r="R737" s="61"/>
    </row>
    <row r="738" spans="1:18" s="44" customFormat="1" ht="22.5" customHeight="1" outlineLevel="2" x14ac:dyDescent="0.25">
      <c r="A738" s="6" t="s">
        <v>12</v>
      </c>
      <c r="B738" s="8" t="s">
        <v>1191</v>
      </c>
      <c r="C738" s="8" t="s">
        <v>42</v>
      </c>
      <c r="D738" s="8" t="s">
        <v>1198</v>
      </c>
      <c r="E738" s="8" t="s">
        <v>29</v>
      </c>
      <c r="F738" s="8" t="s">
        <v>88</v>
      </c>
      <c r="G738" s="8" t="s">
        <v>1194</v>
      </c>
      <c r="H738" s="6" t="s">
        <v>19</v>
      </c>
      <c r="I738" s="19">
        <v>195838894.80000001</v>
      </c>
      <c r="J738" s="19">
        <f>I738*0.8</f>
        <v>156671115.84</v>
      </c>
      <c r="K738" s="72">
        <v>39</v>
      </c>
      <c r="L738" s="37">
        <v>116873413.92</v>
      </c>
      <c r="M738" s="19">
        <v>116873413.92</v>
      </c>
      <c r="N738" s="19">
        <f>J738-M738</f>
        <v>39797701.920000002</v>
      </c>
      <c r="O738" s="19">
        <f t="shared" si="33"/>
        <v>0</v>
      </c>
      <c r="P738" s="6"/>
      <c r="Q738" s="8" t="s">
        <v>2721</v>
      </c>
      <c r="R738" s="61"/>
    </row>
    <row r="739" spans="1:18" s="44" customFormat="1" ht="59.25" customHeight="1" outlineLevel="2" x14ac:dyDescent="0.25">
      <c r="A739" s="6" t="s">
        <v>12</v>
      </c>
      <c r="B739" s="8" t="s">
        <v>2722</v>
      </c>
      <c r="C739" s="8" t="s">
        <v>42</v>
      </c>
      <c r="D739" s="8" t="s">
        <v>1221</v>
      </c>
      <c r="E739" s="8" t="s">
        <v>29</v>
      </c>
      <c r="F739" s="8" t="s">
        <v>191</v>
      </c>
      <c r="G739" s="8" t="s">
        <v>1222</v>
      </c>
      <c r="H739" s="6" t="s">
        <v>19</v>
      </c>
      <c r="I739" s="80">
        <v>35143.199999999997</v>
      </c>
      <c r="J739" s="80">
        <v>35143.199999999997</v>
      </c>
      <c r="K739" s="72">
        <v>100</v>
      </c>
      <c r="L739" s="80">
        <v>14057.28</v>
      </c>
      <c r="M739" s="80">
        <v>14057.28</v>
      </c>
      <c r="N739" s="80">
        <v>21085.919999999998</v>
      </c>
      <c r="O739" s="19">
        <f t="shared" si="33"/>
        <v>0</v>
      </c>
      <c r="P739" s="6"/>
      <c r="Q739" s="8" t="s">
        <v>2723</v>
      </c>
      <c r="R739" s="61"/>
    </row>
    <row r="740" spans="1:18" s="44" customFormat="1" ht="59.25" customHeight="1" outlineLevel="2" x14ac:dyDescent="0.25">
      <c r="A740" s="6" t="s">
        <v>12</v>
      </c>
      <c r="B740" s="8" t="s">
        <v>1655</v>
      </c>
      <c r="C740" s="8" t="s">
        <v>42</v>
      </c>
      <c r="D740" s="8" t="s">
        <v>2115</v>
      </c>
      <c r="E740" s="8" t="s">
        <v>29</v>
      </c>
      <c r="F740" s="8" t="s">
        <v>416</v>
      </c>
      <c r="G740" s="8" t="s">
        <v>1657</v>
      </c>
      <c r="H740" s="6" t="s">
        <v>19</v>
      </c>
      <c r="I740" s="19">
        <v>91059055.200000003</v>
      </c>
      <c r="J740" s="19">
        <f>I740*0.8</f>
        <v>72847244.160000011</v>
      </c>
      <c r="K740" s="72">
        <v>80</v>
      </c>
      <c r="L740" s="72">
        <f>I740*40%</f>
        <v>36423622.080000006</v>
      </c>
      <c r="M740" s="19">
        <v>36423622.079999998</v>
      </c>
      <c r="N740" s="19">
        <f t="shared" ref="N740:N748" si="34">J740-M740</f>
        <v>36423622.080000013</v>
      </c>
      <c r="O740" s="19">
        <f t="shared" si="33"/>
        <v>0</v>
      </c>
      <c r="P740" s="6"/>
      <c r="Q740" s="8" t="s">
        <v>2420</v>
      </c>
      <c r="R740" s="61"/>
    </row>
    <row r="741" spans="1:18" ht="59.25" customHeight="1" outlineLevel="2" x14ac:dyDescent="0.2">
      <c r="A741" s="6" t="s">
        <v>12</v>
      </c>
      <c r="B741" s="2" t="s">
        <v>667</v>
      </c>
      <c r="C741" s="8" t="s">
        <v>42</v>
      </c>
      <c r="D741" s="2" t="s">
        <v>2116</v>
      </c>
      <c r="E741" s="8" t="s">
        <v>2117</v>
      </c>
      <c r="F741" s="2" t="s">
        <v>417</v>
      </c>
      <c r="G741" s="2" t="s">
        <v>2118</v>
      </c>
      <c r="H741" s="3" t="s">
        <v>19</v>
      </c>
      <c r="I741" s="19">
        <v>84888000</v>
      </c>
      <c r="J741" s="19">
        <f>I741*0.8</f>
        <v>67910400</v>
      </c>
      <c r="K741" s="72">
        <v>80</v>
      </c>
      <c r="L741" s="37">
        <f>I741*40%</f>
        <v>33955200</v>
      </c>
      <c r="M741" s="19"/>
      <c r="N741" s="19">
        <f t="shared" si="34"/>
        <v>67910400</v>
      </c>
      <c r="O741" s="19">
        <f t="shared" si="33"/>
        <v>33955200</v>
      </c>
      <c r="P741" s="1">
        <v>45556</v>
      </c>
      <c r="Q741" s="8" t="s">
        <v>2119</v>
      </c>
    </row>
    <row r="742" spans="1:18" s="44" customFormat="1" ht="59.25" customHeight="1" outlineLevel="2" x14ac:dyDescent="0.25">
      <c r="A742" s="6" t="s">
        <v>12</v>
      </c>
      <c r="B742" s="8" t="s">
        <v>1655</v>
      </c>
      <c r="C742" s="8" t="s">
        <v>42</v>
      </c>
      <c r="D742" s="8" t="s">
        <v>1663</v>
      </c>
      <c r="E742" s="8" t="s">
        <v>29</v>
      </c>
      <c r="F742" s="8" t="s">
        <v>88</v>
      </c>
      <c r="G742" s="8" t="s">
        <v>1664</v>
      </c>
      <c r="H742" s="6" t="s">
        <v>19</v>
      </c>
      <c r="I742" s="19">
        <v>20771480.16</v>
      </c>
      <c r="J742" s="19">
        <v>16617184.130000001</v>
      </c>
      <c r="K742" s="72">
        <v>80</v>
      </c>
      <c r="L742" s="72">
        <f>I742*40%</f>
        <v>8308592.0640000002</v>
      </c>
      <c r="M742" s="19">
        <v>8308592.0599999996</v>
      </c>
      <c r="N742" s="19">
        <f t="shared" si="34"/>
        <v>8308592.0700000012</v>
      </c>
      <c r="O742" s="19">
        <f t="shared" si="33"/>
        <v>4.0000006556510925E-3</v>
      </c>
      <c r="P742" s="6"/>
      <c r="Q742" s="8" t="s">
        <v>2120</v>
      </c>
      <c r="R742" s="61"/>
    </row>
    <row r="743" spans="1:18" s="44" customFormat="1" ht="22.5" customHeight="1" outlineLevel="2" x14ac:dyDescent="0.25">
      <c r="A743" s="6" t="s">
        <v>12</v>
      </c>
      <c r="B743" s="8" t="s">
        <v>1685</v>
      </c>
      <c r="C743" s="8" t="s">
        <v>42</v>
      </c>
      <c r="D743" s="8" t="s">
        <v>1694</v>
      </c>
      <c r="E743" s="8" t="s">
        <v>29</v>
      </c>
      <c r="F743" s="8" t="s">
        <v>1695</v>
      </c>
      <c r="G743" s="8" t="s">
        <v>1691</v>
      </c>
      <c r="H743" s="6" t="s">
        <v>276</v>
      </c>
      <c r="I743" s="19">
        <v>204528</v>
      </c>
      <c r="J743" s="19">
        <v>122716.8</v>
      </c>
      <c r="K743" s="72">
        <v>60</v>
      </c>
      <c r="L743" s="72">
        <f>I743*40%</f>
        <v>81811.200000000012</v>
      </c>
      <c r="M743" s="19">
        <v>81811.199999999997</v>
      </c>
      <c r="N743" s="19">
        <f t="shared" si="34"/>
        <v>40905.600000000006</v>
      </c>
      <c r="O743" s="19">
        <f t="shared" si="33"/>
        <v>0</v>
      </c>
      <c r="P743" s="82"/>
      <c r="Q743" s="8" t="s">
        <v>2965</v>
      </c>
      <c r="R743" s="61"/>
    </row>
    <row r="744" spans="1:18" s="44" customFormat="1" ht="45" customHeight="1" outlineLevel="2" x14ac:dyDescent="0.25">
      <c r="A744" s="6" t="s">
        <v>12</v>
      </c>
      <c r="B744" s="8" t="s">
        <v>2791</v>
      </c>
      <c r="C744" s="8" t="s">
        <v>42</v>
      </c>
      <c r="D744" s="8" t="s">
        <v>1714</v>
      </c>
      <c r="E744" s="8" t="s">
        <v>29</v>
      </c>
      <c r="F744" s="8" t="s">
        <v>88</v>
      </c>
      <c r="G744" s="8" t="s">
        <v>1715</v>
      </c>
      <c r="H744" s="6" t="s">
        <v>19</v>
      </c>
      <c r="I744" s="19">
        <v>1372608.72</v>
      </c>
      <c r="J744" s="37">
        <v>1098086.98</v>
      </c>
      <c r="K744" s="72">
        <v>80</v>
      </c>
      <c r="L744" s="37">
        <v>1098086.98</v>
      </c>
      <c r="M744" s="37">
        <v>1098086.98</v>
      </c>
      <c r="N744" s="37">
        <f t="shared" si="34"/>
        <v>0</v>
      </c>
      <c r="O744" s="37">
        <f t="shared" si="33"/>
        <v>0</v>
      </c>
      <c r="P744" s="6"/>
      <c r="Q744" s="8" t="s">
        <v>2121</v>
      </c>
      <c r="R744" s="61"/>
    </row>
    <row r="745" spans="1:18" s="44" customFormat="1" ht="33.75" customHeight="1" outlineLevel="2" x14ac:dyDescent="0.25">
      <c r="A745" s="6" t="s">
        <v>12</v>
      </c>
      <c r="B745" s="8" t="s">
        <v>1718</v>
      </c>
      <c r="C745" s="8" t="s">
        <v>42</v>
      </c>
      <c r="D745" s="8" t="s">
        <v>1723</v>
      </c>
      <c r="E745" s="8" t="s">
        <v>29</v>
      </c>
      <c r="F745" s="8" t="s">
        <v>1724</v>
      </c>
      <c r="G745" s="8" t="s">
        <v>819</v>
      </c>
      <c r="H745" s="6" t="s">
        <v>19</v>
      </c>
      <c r="I745" s="19">
        <v>21102188.670000002</v>
      </c>
      <c r="J745" s="19">
        <v>9645079.0999999996</v>
      </c>
      <c r="K745" s="72">
        <v>46</v>
      </c>
      <c r="L745" s="37">
        <v>4822539.55</v>
      </c>
      <c r="M745" s="19">
        <v>4822539.55</v>
      </c>
      <c r="N745" s="19">
        <f t="shared" si="34"/>
        <v>4822539.55</v>
      </c>
      <c r="O745" s="19">
        <f t="shared" si="33"/>
        <v>0</v>
      </c>
      <c r="P745" s="6"/>
      <c r="Q745" s="8" t="s">
        <v>2122</v>
      </c>
      <c r="R745" s="61"/>
    </row>
    <row r="746" spans="1:18" s="44" customFormat="1" ht="51.75" customHeight="1" outlineLevel="2" x14ac:dyDescent="0.25">
      <c r="A746" s="6" t="s">
        <v>12</v>
      </c>
      <c r="B746" s="8" t="s">
        <v>1734</v>
      </c>
      <c r="C746" s="8" t="s">
        <v>42</v>
      </c>
      <c r="D746" s="8" t="s">
        <v>1739</v>
      </c>
      <c r="E746" s="8" t="s">
        <v>29</v>
      </c>
      <c r="F746" s="8" t="s">
        <v>848</v>
      </c>
      <c r="G746" s="8" t="s">
        <v>1736</v>
      </c>
      <c r="H746" s="6" t="s">
        <v>19</v>
      </c>
      <c r="I746" s="19">
        <v>454324660.69999999</v>
      </c>
      <c r="J746" s="19">
        <v>363459728.56</v>
      </c>
      <c r="K746" s="72">
        <v>11</v>
      </c>
      <c r="L746" s="37">
        <v>181729864.28</v>
      </c>
      <c r="M746" s="19">
        <v>181729864.28</v>
      </c>
      <c r="N746" s="19">
        <f t="shared" si="34"/>
        <v>181729864.28</v>
      </c>
      <c r="O746" s="19">
        <f t="shared" si="33"/>
        <v>0</v>
      </c>
      <c r="P746" s="82"/>
      <c r="Q746" s="8" t="s">
        <v>1975</v>
      </c>
      <c r="R746" s="61"/>
    </row>
    <row r="747" spans="1:18" s="44" customFormat="1" ht="47.25" customHeight="1" outlineLevel="2" x14ac:dyDescent="0.25">
      <c r="A747" s="6" t="s">
        <v>12</v>
      </c>
      <c r="B747" s="8" t="s">
        <v>1811</v>
      </c>
      <c r="C747" s="8" t="s">
        <v>42</v>
      </c>
      <c r="D747" s="8" t="s">
        <v>1817</v>
      </c>
      <c r="E747" s="8" t="s">
        <v>29</v>
      </c>
      <c r="F747" s="8" t="s">
        <v>985</v>
      </c>
      <c r="G747" s="8" t="s">
        <v>1818</v>
      </c>
      <c r="H747" s="6" t="s">
        <v>19</v>
      </c>
      <c r="I747" s="19">
        <v>894324</v>
      </c>
      <c r="J747" s="19">
        <v>894324</v>
      </c>
      <c r="K747" s="72">
        <v>50</v>
      </c>
      <c r="L747" s="37">
        <v>894324</v>
      </c>
      <c r="M747" s="19">
        <v>894324</v>
      </c>
      <c r="N747" s="19">
        <f t="shared" si="34"/>
        <v>0</v>
      </c>
      <c r="O747" s="19">
        <f t="shared" si="33"/>
        <v>0</v>
      </c>
      <c r="P747" s="74">
        <v>45531</v>
      </c>
      <c r="Q747" s="8" t="s">
        <v>2724</v>
      </c>
      <c r="R747" s="61"/>
    </row>
    <row r="748" spans="1:18" s="44" customFormat="1" ht="22.5" customHeight="1" outlineLevel="2" x14ac:dyDescent="0.25">
      <c r="A748" s="6" t="s">
        <v>12</v>
      </c>
      <c r="B748" s="8" t="s">
        <v>1831</v>
      </c>
      <c r="C748" s="8" t="s">
        <v>42</v>
      </c>
      <c r="D748" s="8" t="s">
        <v>1836</v>
      </c>
      <c r="E748" s="8" t="s">
        <v>29</v>
      </c>
      <c r="F748" s="8" t="s">
        <v>593</v>
      </c>
      <c r="G748" s="8" t="s">
        <v>1837</v>
      </c>
      <c r="H748" s="6" t="s">
        <v>19</v>
      </c>
      <c r="I748" s="19">
        <v>2063216510.02</v>
      </c>
      <c r="J748" s="19">
        <v>934560104.83000004</v>
      </c>
      <c r="K748" s="72">
        <v>45</v>
      </c>
      <c r="L748" s="37">
        <v>467280052.42000002</v>
      </c>
      <c r="M748" s="19">
        <v>467280052.42000002</v>
      </c>
      <c r="N748" s="19">
        <f t="shared" si="34"/>
        <v>467280052.41000003</v>
      </c>
      <c r="O748" s="19">
        <f t="shared" si="33"/>
        <v>0</v>
      </c>
      <c r="P748" s="83"/>
      <c r="Q748" s="8" t="s">
        <v>1982</v>
      </c>
      <c r="R748" s="61"/>
    </row>
    <row r="749" spans="1:18" s="44" customFormat="1" ht="33.75" customHeight="1" outlineLevel="2" x14ac:dyDescent="0.25">
      <c r="A749" s="6" t="s">
        <v>12</v>
      </c>
      <c r="B749" s="8" t="s">
        <v>2656</v>
      </c>
      <c r="C749" s="8" t="s">
        <v>42</v>
      </c>
      <c r="D749" s="8" t="s">
        <v>1849</v>
      </c>
      <c r="E749" s="8" t="s">
        <v>29</v>
      </c>
      <c r="F749" s="8" t="s">
        <v>191</v>
      </c>
      <c r="G749" s="8" t="s">
        <v>1850</v>
      </c>
      <c r="H749" s="6" t="s">
        <v>19</v>
      </c>
      <c r="I749" s="19">
        <v>692280</v>
      </c>
      <c r="J749" s="19">
        <v>692280</v>
      </c>
      <c r="K749" s="72">
        <v>100</v>
      </c>
      <c r="L749" s="37">
        <v>692280</v>
      </c>
      <c r="M749" s="19">
        <v>692280</v>
      </c>
      <c r="N749" s="19">
        <v>692280</v>
      </c>
      <c r="O749" s="19">
        <f t="shared" si="33"/>
        <v>0</v>
      </c>
      <c r="P749" s="74">
        <v>45534</v>
      </c>
      <c r="Q749" s="8" t="s">
        <v>2783</v>
      </c>
      <c r="R749" s="61"/>
    </row>
    <row r="750" spans="1:18" s="44" customFormat="1" ht="22.5" customHeight="1" outlineLevel="2" x14ac:dyDescent="0.25">
      <c r="A750" s="6" t="s">
        <v>12</v>
      </c>
      <c r="B750" s="8" t="s">
        <v>2578</v>
      </c>
      <c r="C750" s="8" t="s">
        <v>42</v>
      </c>
      <c r="D750" s="8" t="s">
        <v>1878</v>
      </c>
      <c r="E750" s="8" t="s">
        <v>29</v>
      </c>
      <c r="F750" s="8" t="s">
        <v>995</v>
      </c>
      <c r="G750" s="8" t="s">
        <v>117</v>
      </c>
      <c r="H750" s="6" t="s">
        <v>19</v>
      </c>
      <c r="I750" s="19">
        <v>17810908.800000001</v>
      </c>
      <c r="J750" s="80">
        <v>10570176</v>
      </c>
      <c r="K750" s="72">
        <v>59</v>
      </c>
      <c r="L750" s="80">
        <f>I750*40%</f>
        <v>7124363.5200000005</v>
      </c>
      <c r="M750" s="80">
        <v>2114035.2000000002</v>
      </c>
      <c r="N750" s="80">
        <v>8456140.8000000007</v>
      </c>
      <c r="O750" s="19">
        <f t="shared" si="33"/>
        <v>5010328.32</v>
      </c>
      <c r="P750" s="6"/>
      <c r="Q750" s="8" t="s">
        <v>2092</v>
      </c>
      <c r="R750" s="61"/>
    </row>
    <row r="751" spans="1:18" s="44" customFormat="1" ht="22.5" customHeight="1" outlineLevel="2" x14ac:dyDescent="0.25">
      <c r="A751" s="6" t="s">
        <v>12</v>
      </c>
      <c r="B751" s="8" t="s">
        <v>2530</v>
      </c>
      <c r="C751" s="8" t="s">
        <v>42</v>
      </c>
      <c r="D751" s="8" t="s">
        <v>1898</v>
      </c>
      <c r="E751" s="8" t="s">
        <v>29</v>
      </c>
      <c r="F751" s="8" t="s">
        <v>587</v>
      </c>
      <c r="G751" s="8" t="s">
        <v>1155</v>
      </c>
      <c r="H751" s="6" t="s">
        <v>19</v>
      </c>
      <c r="I751" s="19">
        <v>23833440</v>
      </c>
      <c r="J751" s="80">
        <v>19066752</v>
      </c>
      <c r="K751" s="72">
        <v>54</v>
      </c>
      <c r="L751" s="80">
        <f>I751*40%</f>
        <v>9533376</v>
      </c>
      <c r="M751" s="80">
        <v>9533376</v>
      </c>
      <c r="N751" s="80">
        <f>L751-M751</f>
        <v>0</v>
      </c>
      <c r="O751" s="19">
        <f t="shared" si="33"/>
        <v>0</v>
      </c>
      <c r="P751" s="74">
        <v>45538</v>
      </c>
      <c r="Q751" s="8" t="s">
        <v>2579</v>
      </c>
      <c r="R751" s="61"/>
    </row>
    <row r="752" spans="1:18" s="44" customFormat="1" ht="39.75" customHeight="1" outlineLevel="2" x14ac:dyDescent="0.25">
      <c r="A752" s="6" t="s">
        <v>12</v>
      </c>
      <c r="B752" s="8" t="s">
        <v>2580</v>
      </c>
      <c r="C752" s="8" t="s">
        <v>42</v>
      </c>
      <c r="D752" s="8" t="s">
        <v>1910</v>
      </c>
      <c r="E752" s="8" t="s">
        <v>29</v>
      </c>
      <c r="F752" s="8" t="s">
        <v>154</v>
      </c>
      <c r="G752" s="8" t="s">
        <v>361</v>
      </c>
      <c r="H752" s="6" t="s">
        <v>19</v>
      </c>
      <c r="I752" s="19">
        <v>11288376</v>
      </c>
      <c r="J752" s="80">
        <v>9030700.8000000007</v>
      </c>
      <c r="K752" s="72">
        <v>80</v>
      </c>
      <c r="L752" s="80">
        <f>I752*40%</f>
        <v>4515350.4000000004</v>
      </c>
      <c r="M752" s="80"/>
      <c r="N752" s="80">
        <v>9030700.8000000007</v>
      </c>
      <c r="O752" s="19">
        <f t="shared" si="33"/>
        <v>4515350.4000000004</v>
      </c>
      <c r="P752" s="74">
        <v>45541</v>
      </c>
      <c r="Q752" s="8" t="s">
        <v>2108</v>
      </c>
      <c r="R752" s="61"/>
    </row>
    <row r="753" spans="1:18" s="44" customFormat="1" ht="33.75" customHeight="1" outlineLevel="2" x14ac:dyDescent="0.25">
      <c r="A753" s="6" t="s">
        <v>12</v>
      </c>
      <c r="B753" s="8" t="s">
        <v>2581</v>
      </c>
      <c r="C753" s="8" t="s">
        <v>42</v>
      </c>
      <c r="D753" s="8" t="s">
        <v>2123</v>
      </c>
      <c r="E753" s="8" t="s">
        <v>29</v>
      </c>
      <c r="F753" s="8" t="s">
        <v>1920</v>
      </c>
      <c r="G753" s="8" t="s">
        <v>1919</v>
      </c>
      <c r="H753" s="6" t="s">
        <v>19</v>
      </c>
      <c r="I753" s="19">
        <v>23151061.010000002</v>
      </c>
      <c r="J753" s="80">
        <v>18520848.808000002</v>
      </c>
      <c r="K753" s="72">
        <v>80</v>
      </c>
      <c r="L753" s="80">
        <f>I753*40%</f>
        <v>9260424.404000001</v>
      </c>
      <c r="M753" s="80">
        <f>I753*0.4</f>
        <v>9260424.404000001</v>
      </c>
      <c r="N753" s="80">
        <v>9260424.4100000001</v>
      </c>
      <c r="O753" s="19">
        <f t="shared" si="33"/>
        <v>0</v>
      </c>
      <c r="P753" s="6"/>
      <c r="Q753" s="8" t="s">
        <v>1982</v>
      </c>
      <c r="R753" s="61"/>
    </row>
    <row r="754" spans="1:18" s="44" customFormat="1" ht="22.5" customHeight="1" outlineLevel="2" x14ac:dyDescent="0.25">
      <c r="A754" s="6" t="s">
        <v>12</v>
      </c>
      <c r="B754" s="8" t="s">
        <v>1925</v>
      </c>
      <c r="C754" s="8" t="s">
        <v>42</v>
      </c>
      <c r="D754" s="8" t="s">
        <v>1927</v>
      </c>
      <c r="E754" s="8" t="s">
        <v>29</v>
      </c>
      <c r="F754" s="8" t="s">
        <v>275</v>
      </c>
      <c r="G754" s="8" t="s">
        <v>1926</v>
      </c>
      <c r="H754" s="6" t="s">
        <v>276</v>
      </c>
      <c r="I754" s="19">
        <v>2495700.7200000002</v>
      </c>
      <c r="J754" s="19">
        <v>1996560.5760000004</v>
      </c>
      <c r="K754" s="72">
        <v>4</v>
      </c>
      <c r="L754" s="37">
        <v>998280.28</v>
      </c>
      <c r="M754" s="19">
        <v>998280.28</v>
      </c>
      <c r="N754" s="19"/>
      <c r="O754" s="19">
        <f t="shared" si="33"/>
        <v>0</v>
      </c>
      <c r="P754" s="74">
        <v>45541</v>
      </c>
      <c r="Q754" s="8" t="s">
        <v>1980</v>
      </c>
      <c r="R754" s="61"/>
    </row>
    <row r="755" spans="1:18" s="44" customFormat="1" ht="66" customHeight="1" outlineLevel="2" x14ac:dyDescent="0.25">
      <c r="A755" s="6" t="s">
        <v>12</v>
      </c>
      <c r="B755" s="8" t="s">
        <v>151</v>
      </c>
      <c r="C755" s="8" t="s">
        <v>42</v>
      </c>
      <c r="D755" s="8" t="s">
        <v>153</v>
      </c>
      <c r="E755" s="8" t="s">
        <v>1949</v>
      </c>
      <c r="F755" s="8" t="s">
        <v>154</v>
      </c>
      <c r="G755" s="8" t="s">
        <v>152</v>
      </c>
      <c r="H755" s="6" t="s">
        <v>19</v>
      </c>
      <c r="I755" s="19">
        <v>7375032.7199999997</v>
      </c>
      <c r="J755" s="19">
        <v>5900026.1799999997</v>
      </c>
      <c r="K755" s="72">
        <v>80</v>
      </c>
      <c r="L755" s="72">
        <f t="shared" ref="L755:L761" si="35">I755*40%</f>
        <v>2950013.088</v>
      </c>
      <c r="M755" s="19"/>
      <c r="N755" s="19">
        <v>5900026.1799999997</v>
      </c>
      <c r="O755" s="19">
        <f t="shared" si="33"/>
        <v>2950013.088</v>
      </c>
      <c r="P755" s="74">
        <v>45555</v>
      </c>
      <c r="Q755" s="85" t="s">
        <v>2124</v>
      </c>
      <c r="R755" s="61"/>
    </row>
    <row r="756" spans="1:18" s="44" customFormat="1" ht="51.75" customHeight="1" outlineLevel="2" x14ac:dyDescent="0.25">
      <c r="A756" s="6" t="s">
        <v>12</v>
      </c>
      <c r="B756" s="8" t="s">
        <v>305</v>
      </c>
      <c r="C756" s="8" t="s">
        <v>42</v>
      </c>
      <c r="D756" s="8" t="s">
        <v>317</v>
      </c>
      <c r="E756" s="8" t="s">
        <v>2082</v>
      </c>
      <c r="F756" s="8" t="s">
        <v>318</v>
      </c>
      <c r="G756" s="8" t="s">
        <v>319</v>
      </c>
      <c r="H756" s="6" t="s">
        <v>19</v>
      </c>
      <c r="I756" s="19">
        <v>6372514.0800000001</v>
      </c>
      <c r="J756" s="19">
        <v>5098011.26</v>
      </c>
      <c r="K756" s="72">
        <v>80</v>
      </c>
      <c r="L756" s="72">
        <f t="shared" si="35"/>
        <v>2549005.6320000002</v>
      </c>
      <c r="M756" s="19"/>
      <c r="N756" s="19">
        <v>5098011.26</v>
      </c>
      <c r="O756" s="19">
        <f t="shared" si="33"/>
        <v>2549005.6320000002</v>
      </c>
      <c r="P756" s="84">
        <v>45541</v>
      </c>
      <c r="Q756" s="8" t="s">
        <v>2966</v>
      </c>
      <c r="R756" s="61"/>
    </row>
    <row r="757" spans="1:18" s="44" customFormat="1" ht="33.75" customHeight="1" outlineLevel="2" x14ac:dyDescent="0.25">
      <c r="A757" s="6" t="s">
        <v>12</v>
      </c>
      <c r="B757" s="8" t="s">
        <v>342</v>
      </c>
      <c r="C757" s="8" t="s">
        <v>42</v>
      </c>
      <c r="D757" s="8" t="s">
        <v>346</v>
      </c>
      <c r="E757" s="8" t="s">
        <v>1949</v>
      </c>
      <c r="F757" s="8" t="s">
        <v>191</v>
      </c>
      <c r="G757" s="8" t="s">
        <v>343</v>
      </c>
      <c r="H757" s="6" t="s">
        <v>19</v>
      </c>
      <c r="I757" s="19">
        <v>1939429.44</v>
      </c>
      <c r="J757" s="19">
        <v>1939429.44</v>
      </c>
      <c r="K757" s="72">
        <v>100</v>
      </c>
      <c r="L757" s="72">
        <f t="shared" si="35"/>
        <v>775771.77600000007</v>
      </c>
      <c r="M757" s="19"/>
      <c r="N757" s="19">
        <v>1939429.44</v>
      </c>
      <c r="O757" s="19">
        <f t="shared" si="33"/>
        <v>775771.77600000007</v>
      </c>
      <c r="P757" s="8" t="s">
        <v>2031</v>
      </c>
      <c r="Q757" s="8" t="s">
        <v>2967</v>
      </c>
      <c r="R757" s="61"/>
    </row>
    <row r="758" spans="1:18" s="44" customFormat="1" ht="43.5" customHeight="1" outlineLevel="2" x14ac:dyDescent="0.25">
      <c r="A758" s="6" t="s">
        <v>12</v>
      </c>
      <c r="B758" s="8" t="s">
        <v>395</v>
      </c>
      <c r="C758" s="8" t="s">
        <v>42</v>
      </c>
      <c r="D758" s="8" t="s">
        <v>401</v>
      </c>
      <c r="E758" s="8" t="s">
        <v>1949</v>
      </c>
      <c r="F758" s="8" t="s">
        <v>154</v>
      </c>
      <c r="G758" s="8" t="s">
        <v>400</v>
      </c>
      <c r="H758" s="6" t="s">
        <v>19</v>
      </c>
      <c r="I758" s="19">
        <v>1063307.76</v>
      </c>
      <c r="J758" s="19">
        <v>850646.21</v>
      </c>
      <c r="K758" s="72">
        <v>80</v>
      </c>
      <c r="L758" s="72">
        <f t="shared" si="35"/>
        <v>425323.10400000005</v>
      </c>
      <c r="M758" s="19"/>
      <c r="N758" s="19">
        <v>850646.21</v>
      </c>
      <c r="O758" s="19">
        <f t="shared" si="33"/>
        <v>425323.10400000005</v>
      </c>
      <c r="P758" s="6"/>
      <c r="Q758" s="8" t="s">
        <v>2968</v>
      </c>
      <c r="R758" s="61"/>
    </row>
    <row r="759" spans="1:18" s="44" customFormat="1" ht="43.5" customHeight="1" outlineLevel="2" x14ac:dyDescent="0.25">
      <c r="A759" s="6" t="s">
        <v>12</v>
      </c>
      <c r="B759" s="8" t="s">
        <v>548</v>
      </c>
      <c r="C759" s="8" t="s">
        <v>42</v>
      </c>
      <c r="D759" s="8" t="s">
        <v>549</v>
      </c>
      <c r="E759" s="8" t="s">
        <v>2082</v>
      </c>
      <c r="F759" s="8" t="s">
        <v>154</v>
      </c>
      <c r="G759" s="8" t="s">
        <v>550</v>
      </c>
      <c r="H759" s="6" t="s">
        <v>19</v>
      </c>
      <c r="I759" s="19">
        <v>98473965.549999997</v>
      </c>
      <c r="J759" s="19">
        <v>78779172.439999998</v>
      </c>
      <c r="K759" s="72">
        <v>80</v>
      </c>
      <c r="L759" s="72">
        <f t="shared" si="35"/>
        <v>39389586.219999999</v>
      </c>
      <c r="M759" s="19"/>
      <c r="N759" s="19">
        <v>78779172.439999998</v>
      </c>
      <c r="O759" s="19">
        <f t="shared" si="33"/>
        <v>39389586.219999999</v>
      </c>
      <c r="P759" s="8" t="s">
        <v>2725</v>
      </c>
      <c r="Q759" s="86" t="s">
        <v>2969</v>
      </c>
      <c r="R759" s="61"/>
    </row>
    <row r="760" spans="1:18" s="44" customFormat="1" ht="57.75" customHeight="1" outlineLevel="2" x14ac:dyDescent="0.25">
      <c r="A760" s="6" t="s">
        <v>12</v>
      </c>
      <c r="B760" s="8" t="s">
        <v>667</v>
      </c>
      <c r="C760" s="8" t="s">
        <v>42</v>
      </c>
      <c r="D760" s="8" t="s">
        <v>2125</v>
      </c>
      <c r="E760" s="8" t="s">
        <v>1949</v>
      </c>
      <c r="F760" s="8" t="s">
        <v>154</v>
      </c>
      <c r="G760" s="8" t="s">
        <v>2126</v>
      </c>
      <c r="H760" s="6" t="s">
        <v>19</v>
      </c>
      <c r="I760" s="19">
        <v>312660</v>
      </c>
      <c r="J760" s="19">
        <f>I760*0.8</f>
        <v>250128</v>
      </c>
      <c r="K760" s="72">
        <v>80</v>
      </c>
      <c r="L760" s="72">
        <f t="shared" si="35"/>
        <v>125064</v>
      </c>
      <c r="M760" s="19"/>
      <c r="N760" s="19">
        <v>250128</v>
      </c>
      <c r="O760" s="19">
        <f t="shared" si="33"/>
        <v>125064</v>
      </c>
      <c r="P760" s="74">
        <v>45556</v>
      </c>
      <c r="Q760" s="8" t="s">
        <v>2127</v>
      </c>
      <c r="R760" s="61"/>
    </row>
    <row r="761" spans="1:18" s="44" customFormat="1" ht="33" customHeight="1" outlineLevel="2" x14ac:dyDescent="0.25">
      <c r="A761" s="6" t="s">
        <v>12</v>
      </c>
      <c r="B761" s="8" t="s">
        <v>686</v>
      </c>
      <c r="C761" s="8" t="s">
        <v>42</v>
      </c>
      <c r="D761" s="39" t="s">
        <v>687</v>
      </c>
      <c r="E761" s="8" t="s">
        <v>1949</v>
      </c>
      <c r="F761" s="8" t="s">
        <v>154</v>
      </c>
      <c r="G761" s="8" t="s">
        <v>688</v>
      </c>
      <c r="H761" s="6" t="s">
        <v>19</v>
      </c>
      <c r="I761" s="19">
        <v>1369440</v>
      </c>
      <c r="J761" s="19">
        <v>547776</v>
      </c>
      <c r="K761" s="72">
        <v>40</v>
      </c>
      <c r="L761" s="19">
        <f t="shared" si="35"/>
        <v>547776</v>
      </c>
      <c r="M761" s="19"/>
      <c r="N761" s="19">
        <v>547776</v>
      </c>
      <c r="O761" s="19">
        <f t="shared" si="33"/>
        <v>547776</v>
      </c>
      <c r="P761" s="74">
        <v>45562</v>
      </c>
      <c r="Q761" s="8" t="s">
        <v>2970</v>
      </c>
      <c r="R761" s="61"/>
    </row>
    <row r="762" spans="1:18" s="44" customFormat="1" ht="33" customHeight="1" outlineLevel="2" x14ac:dyDescent="0.25">
      <c r="A762" s="6" t="s">
        <v>12</v>
      </c>
      <c r="B762" s="8" t="s">
        <v>742</v>
      </c>
      <c r="C762" s="8" t="s">
        <v>42</v>
      </c>
      <c r="D762" s="8" t="s">
        <v>744</v>
      </c>
      <c r="E762" s="8" t="s">
        <v>2082</v>
      </c>
      <c r="F762" s="8" t="s">
        <v>154</v>
      </c>
      <c r="G762" s="8" t="s">
        <v>743</v>
      </c>
      <c r="H762" s="6" t="s">
        <v>19</v>
      </c>
      <c r="I762" s="19">
        <v>4555151.6399999997</v>
      </c>
      <c r="J762" s="19">
        <v>1503360</v>
      </c>
      <c r="K762" s="72">
        <v>80</v>
      </c>
      <c r="L762" s="72">
        <f>J762*0.4</f>
        <v>601344</v>
      </c>
      <c r="M762" s="19"/>
      <c r="N762" s="19">
        <v>1503360</v>
      </c>
      <c r="O762" s="19">
        <f t="shared" si="33"/>
        <v>601344</v>
      </c>
      <c r="P762" s="87">
        <v>45546</v>
      </c>
      <c r="Q762" s="8" t="s">
        <v>2971</v>
      </c>
      <c r="R762" s="61"/>
    </row>
    <row r="763" spans="1:18" ht="51.75" customHeight="1" outlineLevel="2" x14ac:dyDescent="0.2">
      <c r="A763" s="6" t="s">
        <v>12</v>
      </c>
      <c r="B763" s="2" t="s">
        <v>777</v>
      </c>
      <c r="C763" s="8" t="s">
        <v>42</v>
      </c>
      <c r="D763" s="2" t="s">
        <v>791</v>
      </c>
      <c r="E763" s="8" t="s">
        <v>1949</v>
      </c>
      <c r="F763" s="2" t="s">
        <v>154</v>
      </c>
      <c r="G763" s="2" t="s">
        <v>778</v>
      </c>
      <c r="H763" s="3" t="s">
        <v>19</v>
      </c>
      <c r="I763" s="19">
        <v>843842296.79999995</v>
      </c>
      <c r="J763" s="19">
        <v>675073837.44000006</v>
      </c>
      <c r="K763" s="72">
        <v>80</v>
      </c>
      <c r="L763" s="72">
        <f t="shared" ref="L763:L768" si="36">I763*40%</f>
        <v>337536918.72000003</v>
      </c>
      <c r="M763" s="19"/>
      <c r="N763" s="19">
        <v>675073837.44000006</v>
      </c>
      <c r="O763" s="19">
        <f t="shared" ref="O763:O785" si="37">L763-M763</f>
        <v>337536918.72000003</v>
      </c>
      <c r="P763" s="4">
        <v>45536</v>
      </c>
      <c r="Q763" s="8" t="s">
        <v>2128</v>
      </c>
    </row>
    <row r="764" spans="1:18" s="44" customFormat="1" ht="33.75" customHeight="1" outlineLevel="2" x14ac:dyDescent="0.25">
      <c r="A764" s="6" t="s">
        <v>12</v>
      </c>
      <c r="B764" s="8" t="s">
        <v>812</v>
      </c>
      <c r="C764" s="8" t="s">
        <v>42</v>
      </c>
      <c r="D764" s="8" t="s">
        <v>815</v>
      </c>
      <c r="E764" s="8" t="s">
        <v>1949</v>
      </c>
      <c r="F764" s="8" t="s">
        <v>154</v>
      </c>
      <c r="G764" s="8" t="s">
        <v>814</v>
      </c>
      <c r="H764" s="6" t="s">
        <v>19</v>
      </c>
      <c r="I764" s="19">
        <v>164540143.30000001</v>
      </c>
      <c r="J764" s="19">
        <v>64986590.299999997</v>
      </c>
      <c r="K764" s="72">
        <v>80</v>
      </c>
      <c r="L764" s="37">
        <f t="shared" si="36"/>
        <v>65816057.320000008</v>
      </c>
      <c r="M764" s="19"/>
      <c r="N764" s="19">
        <f>J764-M764</f>
        <v>64986590.299999997</v>
      </c>
      <c r="O764" s="19">
        <f t="shared" si="37"/>
        <v>65816057.320000008</v>
      </c>
      <c r="P764" s="74">
        <v>45553</v>
      </c>
      <c r="Q764" s="8" t="s">
        <v>2972</v>
      </c>
      <c r="R764" s="61"/>
    </row>
    <row r="765" spans="1:18" s="53" customFormat="1" ht="33.75" customHeight="1" outlineLevel="2" x14ac:dyDescent="0.25">
      <c r="A765" s="6" t="s">
        <v>12</v>
      </c>
      <c r="B765" s="8" t="s">
        <v>829</v>
      </c>
      <c r="C765" s="8" t="s">
        <v>42</v>
      </c>
      <c r="D765" s="8" t="s">
        <v>836</v>
      </c>
      <c r="E765" s="8" t="s">
        <v>1949</v>
      </c>
      <c r="F765" s="8" t="s">
        <v>154</v>
      </c>
      <c r="G765" s="8" t="s">
        <v>831</v>
      </c>
      <c r="H765" s="6" t="s">
        <v>19</v>
      </c>
      <c r="I765" s="19">
        <v>3100000</v>
      </c>
      <c r="J765" s="19">
        <v>2480000</v>
      </c>
      <c r="K765" s="72">
        <v>80</v>
      </c>
      <c r="L765" s="37">
        <f t="shared" si="36"/>
        <v>1240000</v>
      </c>
      <c r="M765" s="19"/>
      <c r="N765" s="19">
        <v>2480000</v>
      </c>
      <c r="O765" s="19">
        <f t="shared" si="37"/>
        <v>1240000</v>
      </c>
      <c r="P765" s="83"/>
      <c r="Q765" s="8" t="s">
        <v>2952</v>
      </c>
      <c r="R765" s="144"/>
    </row>
    <row r="766" spans="1:18" ht="36" customHeight="1" outlineLevel="2" x14ac:dyDescent="0.2">
      <c r="A766" s="6" t="s">
        <v>12</v>
      </c>
      <c r="B766" s="2" t="s">
        <v>883</v>
      </c>
      <c r="C766" s="8" t="s">
        <v>42</v>
      </c>
      <c r="D766" s="2" t="s">
        <v>885</v>
      </c>
      <c r="E766" s="8" t="s">
        <v>1949</v>
      </c>
      <c r="F766" s="2" t="s">
        <v>154</v>
      </c>
      <c r="G766" s="2" t="s">
        <v>884</v>
      </c>
      <c r="H766" s="3" t="s">
        <v>19</v>
      </c>
      <c r="I766" s="19">
        <v>1465442064</v>
      </c>
      <c r="J766" s="19">
        <v>1172353651.2</v>
      </c>
      <c r="K766" s="72">
        <v>80</v>
      </c>
      <c r="L766" s="72">
        <f t="shared" si="36"/>
        <v>586176825.60000002</v>
      </c>
      <c r="M766" s="19"/>
      <c r="N766" s="19">
        <v>1172353651.2</v>
      </c>
      <c r="O766" s="19">
        <f t="shared" si="37"/>
        <v>586176825.60000002</v>
      </c>
      <c r="P766" s="6"/>
      <c r="Q766" s="8" t="s">
        <v>2973</v>
      </c>
    </row>
    <row r="767" spans="1:18" s="44" customFormat="1" ht="51" customHeight="1" outlineLevel="2" x14ac:dyDescent="0.25">
      <c r="A767" s="12" t="s">
        <v>12</v>
      </c>
      <c r="B767" s="8" t="s">
        <v>888</v>
      </c>
      <c r="C767" s="8" t="s">
        <v>42</v>
      </c>
      <c r="D767" s="39" t="s">
        <v>892</v>
      </c>
      <c r="E767" s="8" t="s">
        <v>1949</v>
      </c>
      <c r="F767" s="39" t="s">
        <v>154</v>
      </c>
      <c r="G767" s="39" t="s">
        <v>441</v>
      </c>
      <c r="H767" s="12" t="s">
        <v>19</v>
      </c>
      <c r="I767" s="19">
        <v>2116800</v>
      </c>
      <c r="J767" s="19">
        <v>1693440</v>
      </c>
      <c r="K767" s="72">
        <v>80</v>
      </c>
      <c r="L767" s="72">
        <f t="shared" si="36"/>
        <v>846720</v>
      </c>
      <c r="M767" s="19"/>
      <c r="N767" s="19">
        <v>1693440</v>
      </c>
      <c r="O767" s="19">
        <f t="shared" si="37"/>
        <v>846720</v>
      </c>
      <c r="P767" s="87">
        <v>45565</v>
      </c>
      <c r="Q767" s="8" t="s">
        <v>2974</v>
      </c>
      <c r="R767" s="61"/>
    </row>
    <row r="768" spans="1:18" s="44" customFormat="1" ht="39.75" customHeight="1" outlineLevel="2" x14ac:dyDescent="0.25">
      <c r="A768" s="6" t="s">
        <v>12</v>
      </c>
      <c r="B768" s="8" t="s">
        <v>2577</v>
      </c>
      <c r="C768" s="8" t="s">
        <v>42</v>
      </c>
      <c r="D768" s="8" t="s">
        <v>922</v>
      </c>
      <c r="E768" s="8" t="s">
        <v>1949</v>
      </c>
      <c r="F768" s="8" t="s">
        <v>154</v>
      </c>
      <c r="G768" s="8" t="s">
        <v>923</v>
      </c>
      <c r="H768" s="6" t="s">
        <v>19</v>
      </c>
      <c r="I768" s="19">
        <v>3000000</v>
      </c>
      <c r="J768" s="80">
        <v>2400000</v>
      </c>
      <c r="K768" s="72">
        <v>80</v>
      </c>
      <c r="L768" s="80">
        <f t="shared" si="36"/>
        <v>1200000</v>
      </c>
      <c r="M768" s="80"/>
      <c r="N768" s="80">
        <v>2400000</v>
      </c>
      <c r="O768" s="19">
        <f t="shared" si="37"/>
        <v>1200000</v>
      </c>
      <c r="P768" s="6" t="s">
        <v>2107</v>
      </c>
      <c r="Q768" s="8" t="s">
        <v>2129</v>
      </c>
      <c r="R768" s="61"/>
    </row>
    <row r="769" spans="1:18" s="44" customFormat="1" ht="38.25" customHeight="1" outlineLevel="2" x14ac:dyDescent="0.25">
      <c r="A769" s="6" t="s">
        <v>12</v>
      </c>
      <c r="B769" s="8" t="s">
        <v>1006</v>
      </c>
      <c r="C769" s="8" t="s">
        <v>42</v>
      </c>
      <c r="D769" s="8" t="s">
        <v>1010</v>
      </c>
      <c r="E769" s="8" t="s">
        <v>1949</v>
      </c>
      <c r="F769" s="8" t="s">
        <v>154</v>
      </c>
      <c r="G769" s="8" t="s">
        <v>1007</v>
      </c>
      <c r="H769" s="6" t="s">
        <v>19</v>
      </c>
      <c r="I769" s="19">
        <v>503280</v>
      </c>
      <c r="J769" s="19">
        <v>476496</v>
      </c>
      <c r="K769" s="72">
        <v>80</v>
      </c>
      <c r="L769" s="72">
        <v>381196.79999999999</v>
      </c>
      <c r="M769" s="19"/>
      <c r="N769" s="19">
        <v>476496</v>
      </c>
      <c r="O769" s="19">
        <f t="shared" si="37"/>
        <v>381196.79999999999</v>
      </c>
      <c r="P769" s="6" t="s">
        <v>2044</v>
      </c>
      <c r="Q769" s="8" t="s">
        <v>2975</v>
      </c>
      <c r="R769" s="61"/>
    </row>
    <row r="770" spans="1:18" s="44" customFormat="1" ht="45" customHeight="1" outlineLevel="2" x14ac:dyDescent="0.25">
      <c r="A770" s="6" t="s">
        <v>12</v>
      </c>
      <c r="B770" s="8" t="s">
        <v>1209</v>
      </c>
      <c r="C770" s="8" t="s">
        <v>42</v>
      </c>
      <c r="D770" s="8" t="s">
        <v>1215</v>
      </c>
      <c r="E770" s="8" t="s">
        <v>1949</v>
      </c>
      <c r="F770" s="8" t="s">
        <v>191</v>
      </c>
      <c r="G770" s="8" t="s">
        <v>117</v>
      </c>
      <c r="H770" s="6" t="s">
        <v>19</v>
      </c>
      <c r="I770" s="19">
        <v>913512.77</v>
      </c>
      <c r="J770" s="19">
        <v>913512.77</v>
      </c>
      <c r="K770" s="72">
        <v>100</v>
      </c>
      <c r="L770" s="19">
        <v>913512.77</v>
      </c>
      <c r="M770" s="19"/>
      <c r="N770" s="19">
        <v>913512.77</v>
      </c>
      <c r="O770" s="19">
        <f t="shared" si="37"/>
        <v>913512.77</v>
      </c>
      <c r="P770" s="74">
        <v>45562</v>
      </c>
      <c r="Q770" s="8" t="s">
        <v>2130</v>
      </c>
      <c r="R770" s="61"/>
    </row>
    <row r="771" spans="1:18" s="44" customFormat="1" ht="63.75" customHeight="1" outlineLevel="2" x14ac:dyDescent="0.25">
      <c r="A771" s="6" t="s">
        <v>12</v>
      </c>
      <c r="B771" s="8" t="s">
        <v>2722</v>
      </c>
      <c r="C771" s="8" t="s">
        <v>42</v>
      </c>
      <c r="D771" s="8" t="s">
        <v>1227</v>
      </c>
      <c r="E771" s="8" t="s">
        <v>1949</v>
      </c>
      <c r="F771" s="8" t="s">
        <v>191</v>
      </c>
      <c r="G771" s="8" t="s">
        <v>1228</v>
      </c>
      <c r="H771" s="6" t="s">
        <v>19</v>
      </c>
      <c r="I771" s="80">
        <v>1559520</v>
      </c>
      <c r="J771" s="80">
        <v>1559520</v>
      </c>
      <c r="K771" s="72">
        <v>100</v>
      </c>
      <c r="L771" s="80">
        <f t="shared" ref="L771:L778" si="38">I771*40%</f>
        <v>623808</v>
      </c>
      <c r="M771" s="80"/>
      <c r="N771" s="80">
        <v>1559520</v>
      </c>
      <c r="O771" s="80">
        <f t="shared" si="37"/>
        <v>623808</v>
      </c>
      <c r="P771" s="79" t="s">
        <v>2726</v>
      </c>
      <c r="Q771" s="8" t="s">
        <v>2976</v>
      </c>
      <c r="R771" s="61"/>
    </row>
    <row r="772" spans="1:18" s="44" customFormat="1" ht="33.75" customHeight="1" outlineLevel="2" x14ac:dyDescent="0.25">
      <c r="A772" s="6" t="s">
        <v>12</v>
      </c>
      <c r="B772" s="8" t="s">
        <v>1232</v>
      </c>
      <c r="C772" s="8" t="s">
        <v>42</v>
      </c>
      <c r="D772" s="8" t="s">
        <v>1240</v>
      </c>
      <c r="E772" s="8" t="s">
        <v>1949</v>
      </c>
      <c r="F772" s="8" t="s">
        <v>191</v>
      </c>
      <c r="G772" s="8" t="s">
        <v>1241</v>
      </c>
      <c r="H772" s="6" t="s">
        <v>19</v>
      </c>
      <c r="I772" s="19">
        <v>19634.400000000001</v>
      </c>
      <c r="J772" s="19">
        <v>19634.400000000001</v>
      </c>
      <c r="K772" s="72">
        <v>100</v>
      </c>
      <c r="L772" s="37">
        <f t="shared" si="38"/>
        <v>7853.7600000000011</v>
      </c>
      <c r="M772" s="19"/>
      <c r="N772" s="19">
        <v>19634.400000000001</v>
      </c>
      <c r="O772" s="19">
        <f t="shared" si="37"/>
        <v>7853.7600000000011</v>
      </c>
      <c r="P772" s="83"/>
      <c r="Q772" s="8" t="s">
        <v>2977</v>
      </c>
      <c r="R772" s="61"/>
    </row>
    <row r="773" spans="1:18" s="44" customFormat="1" ht="56.25" customHeight="1" outlineLevel="2" x14ac:dyDescent="0.25">
      <c r="A773" s="6" t="s">
        <v>12</v>
      </c>
      <c r="B773" s="8" t="s">
        <v>1232</v>
      </c>
      <c r="C773" s="8" t="s">
        <v>42</v>
      </c>
      <c r="D773" s="8" t="s">
        <v>1242</v>
      </c>
      <c r="E773" s="8" t="s">
        <v>1949</v>
      </c>
      <c r="F773" s="8" t="s">
        <v>154</v>
      </c>
      <c r="G773" s="8" t="s">
        <v>1235</v>
      </c>
      <c r="H773" s="6" t="s">
        <v>19</v>
      </c>
      <c r="I773" s="19">
        <v>21334818.960000001</v>
      </c>
      <c r="J773" s="19">
        <v>17067855.170000002</v>
      </c>
      <c r="K773" s="72">
        <v>80</v>
      </c>
      <c r="L773" s="72">
        <f t="shared" si="38"/>
        <v>8533927.5840000007</v>
      </c>
      <c r="M773" s="19"/>
      <c r="N773" s="19">
        <v>17067855.170000002</v>
      </c>
      <c r="O773" s="19">
        <f t="shared" si="37"/>
        <v>8533927.5840000007</v>
      </c>
      <c r="P773" s="82">
        <v>45566</v>
      </c>
      <c r="Q773" s="8" t="s">
        <v>2978</v>
      </c>
      <c r="R773" s="61"/>
    </row>
    <row r="774" spans="1:18" s="44" customFormat="1" ht="50.25" customHeight="1" outlineLevel="2" x14ac:dyDescent="0.25">
      <c r="A774" s="6" t="s">
        <v>12</v>
      </c>
      <c r="B774" s="8" t="s">
        <v>1262</v>
      </c>
      <c r="C774" s="8" t="s">
        <v>42</v>
      </c>
      <c r="D774" s="8" t="s">
        <v>1271</v>
      </c>
      <c r="E774" s="8" t="s">
        <v>1949</v>
      </c>
      <c r="F774" s="8" t="s">
        <v>154</v>
      </c>
      <c r="G774" s="8" t="s">
        <v>1272</v>
      </c>
      <c r="H774" s="6" t="s">
        <v>19</v>
      </c>
      <c r="I774" s="19">
        <v>15595848</v>
      </c>
      <c r="J774" s="19">
        <v>12476678.4</v>
      </c>
      <c r="K774" s="72">
        <v>80</v>
      </c>
      <c r="L774" s="72">
        <f t="shared" si="38"/>
        <v>6238339.2000000002</v>
      </c>
      <c r="M774" s="19"/>
      <c r="N774" s="19">
        <v>12476678.4</v>
      </c>
      <c r="O774" s="19">
        <f t="shared" si="37"/>
        <v>6238339.2000000002</v>
      </c>
      <c r="P774" s="82">
        <v>45566</v>
      </c>
      <c r="Q774" s="8" t="s">
        <v>2131</v>
      </c>
      <c r="R774" s="61"/>
    </row>
    <row r="775" spans="1:18" s="44" customFormat="1" ht="50.25" customHeight="1" outlineLevel="2" x14ac:dyDescent="0.25">
      <c r="A775" s="6" t="s">
        <v>12</v>
      </c>
      <c r="B775" s="8" t="s">
        <v>1298</v>
      </c>
      <c r="C775" s="8" t="s">
        <v>42</v>
      </c>
      <c r="D775" s="8" t="s">
        <v>1300</v>
      </c>
      <c r="E775" s="8" t="s">
        <v>1949</v>
      </c>
      <c r="F775" s="8" t="s">
        <v>154</v>
      </c>
      <c r="G775" s="8" t="s">
        <v>1299</v>
      </c>
      <c r="H775" s="6" t="s">
        <v>19</v>
      </c>
      <c r="I775" s="19">
        <v>3102129.36</v>
      </c>
      <c r="J775" s="37">
        <v>2481703.4900000002</v>
      </c>
      <c r="K775" s="72">
        <v>80</v>
      </c>
      <c r="L775" s="72">
        <f t="shared" si="38"/>
        <v>1240851.7439999999</v>
      </c>
      <c r="M775" s="37"/>
      <c r="N775" s="37">
        <v>2481703.4900000002</v>
      </c>
      <c r="O775" s="37">
        <f t="shared" si="37"/>
        <v>1240851.7439999999</v>
      </c>
      <c r="P775" s="6"/>
      <c r="Q775" s="8" t="s">
        <v>2132</v>
      </c>
      <c r="R775" s="61"/>
    </row>
    <row r="776" spans="1:18" s="44" customFormat="1" ht="50.25" customHeight="1" outlineLevel="2" x14ac:dyDescent="0.25">
      <c r="A776" s="6" t="s">
        <v>12</v>
      </c>
      <c r="B776" s="39" t="s">
        <v>1306</v>
      </c>
      <c r="C776" s="8" t="s">
        <v>42</v>
      </c>
      <c r="D776" s="39" t="s">
        <v>1310</v>
      </c>
      <c r="E776" s="8" t="s">
        <v>1949</v>
      </c>
      <c r="F776" s="39" t="s">
        <v>191</v>
      </c>
      <c r="G776" s="39" t="s">
        <v>1308</v>
      </c>
      <c r="H776" s="12" t="s">
        <v>19</v>
      </c>
      <c r="I776" s="19">
        <v>603841.31999999995</v>
      </c>
      <c r="J776" s="37">
        <v>603841.31999999995</v>
      </c>
      <c r="K776" s="72">
        <v>100</v>
      </c>
      <c r="L776" s="72">
        <f t="shared" si="38"/>
        <v>241536.52799999999</v>
      </c>
      <c r="M776" s="37"/>
      <c r="N776" s="37">
        <v>603841.31999999995</v>
      </c>
      <c r="O776" s="37">
        <f t="shared" si="37"/>
        <v>241536.52799999999</v>
      </c>
      <c r="P776" s="12" t="s">
        <v>2133</v>
      </c>
      <c r="Q776" s="8" t="s">
        <v>2979</v>
      </c>
      <c r="R776" s="61"/>
    </row>
    <row r="777" spans="1:18" s="44" customFormat="1" ht="100.5" customHeight="1" outlineLevel="2" x14ac:dyDescent="0.25">
      <c r="A777" s="6" t="s">
        <v>12</v>
      </c>
      <c r="B777" s="8" t="s">
        <v>1642</v>
      </c>
      <c r="C777" s="8" t="s">
        <v>42</v>
      </c>
      <c r="D777" s="8" t="s">
        <v>1650</v>
      </c>
      <c r="E777" s="8" t="s">
        <v>1949</v>
      </c>
      <c r="F777" s="8" t="s">
        <v>154</v>
      </c>
      <c r="G777" s="8" t="s">
        <v>1651</v>
      </c>
      <c r="H777" s="6" t="s">
        <v>19</v>
      </c>
      <c r="I777" s="19">
        <v>13711501.98</v>
      </c>
      <c r="J777" s="37">
        <v>10969201.58</v>
      </c>
      <c r="K777" s="72">
        <v>80</v>
      </c>
      <c r="L777" s="72">
        <f t="shared" si="38"/>
        <v>5484600.7920000004</v>
      </c>
      <c r="M777" s="37"/>
      <c r="N777" s="37">
        <v>10969201.58</v>
      </c>
      <c r="O777" s="37">
        <f t="shared" si="37"/>
        <v>5484600.7920000004</v>
      </c>
      <c r="P777" s="82">
        <v>45566</v>
      </c>
      <c r="Q777" s="8" t="s">
        <v>2582</v>
      </c>
      <c r="R777" s="61"/>
    </row>
    <row r="778" spans="1:18" ht="50.25" customHeight="1" outlineLevel="2" x14ac:dyDescent="0.2">
      <c r="A778" s="6" t="s">
        <v>12</v>
      </c>
      <c r="B778" s="2" t="s">
        <v>1669</v>
      </c>
      <c r="C778" s="8" t="s">
        <v>42</v>
      </c>
      <c r="D778" s="2" t="s">
        <v>1672</v>
      </c>
      <c r="E778" s="8" t="s">
        <v>1949</v>
      </c>
      <c r="F778" s="2" t="s">
        <v>154</v>
      </c>
      <c r="G778" s="2" t="s">
        <v>117</v>
      </c>
      <c r="H778" s="3" t="s">
        <v>19</v>
      </c>
      <c r="I778" s="19">
        <v>143279449.63999999</v>
      </c>
      <c r="J778" s="37">
        <v>114623559.70999999</v>
      </c>
      <c r="K778" s="72">
        <v>80</v>
      </c>
      <c r="L778" s="72">
        <f t="shared" si="38"/>
        <v>57311779.855999999</v>
      </c>
      <c r="M778" s="37"/>
      <c r="N778" s="37">
        <v>114623559.70999999</v>
      </c>
      <c r="O778" s="37">
        <f t="shared" si="37"/>
        <v>57311779.855999999</v>
      </c>
      <c r="P778" s="4">
        <v>45566</v>
      </c>
      <c r="Q778" s="8" t="s">
        <v>2980</v>
      </c>
    </row>
    <row r="779" spans="1:18" s="44" customFormat="1" ht="50.25" customHeight="1" outlineLevel="2" x14ac:dyDescent="0.25">
      <c r="A779" s="6" t="s">
        <v>12</v>
      </c>
      <c r="B779" s="8" t="s">
        <v>1685</v>
      </c>
      <c r="C779" s="8" t="s">
        <v>42</v>
      </c>
      <c r="D779" s="8" t="s">
        <v>1689</v>
      </c>
      <c r="E779" s="8" t="s">
        <v>1949</v>
      </c>
      <c r="F779" s="8" t="s">
        <v>943</v>
      </c>
      <c r="G779" s="8" t="s">
        <v>1686</v>
      </c>
      <c r="H779" s="6" t="s">
        <v>158</v>
      </c>
      <c r="I779" s="19">
        <v>3476976</v>
      </c>
      <c r="J779" s="19">
        <v>1325341.44</v>
      </c>
      <c r="K779" s="72">
        <v>38</v>
      </c>
      <c r="L779" s="72">
        <v>1325341.44</v>
      </c>
      <c r="M779" s="19"/>
      <c r="N779" s="19">
        <v>1325341.44</v>
      </c>
      <c r="O779" s="19">
        <f t="shared" si="37"/>
        <v>1325341.44</v>
      </c>
      <c r="P779" s="6"/>
      <c r="Q779" s="8" t="s">
        <v>2981</v>
      </c>
      <c r="R779" s="61"/>
    </row>
    <row r="780" spans="1:18" s="44" customFormat="1" ht="50.25" customHeight="1" outlineLevel="2" x14ac:dyDescent="0.25">
      <c r="A780" s="6" t="s">
        <v>12</v>
      </c>
      <c r="B780" s="8" t="s">
        <v>1685</v>
      </c>
      <c r="C780" s="8" t="s">
        <v>42</v>
      </c>
      <c r="D780" s="8" t="s">
        <v>1689</v>
      </c>
      <c r="E780" s="8" t="s">
        <v>1949</v>
      </c>
      <c r="F780" s="8" t="s">
        <v>1690</v>
      </c>
      <c r="G780" s="8" t="s">
        <v>1686</v>
      </c>
      <c r="H780" s="6" t="s">
        <v>279</v>
      </c>
      <c r="I780" s="19">
        <v>3476976</v>
      </c>
      <c r="J780" s="19">
        <v>1456239.36</v>
      </c>
      <c r="K780" s="72">
        <v>42</v>
      </c>
      <c r="L780" s="72">
        <f>I780*40%</f>
        <v>1390790.4000000001</v>
      </c>
      <c r="M780" s="19"/>
      <c r="N780" s="19">
        <v>1456239.36</v>
      </c>
      <c r="O780" s="19">
        <f t="shared" si="37"/>
        <v>1390790.4000000001</v>
      </c>
      <c r="P780" s="6"/>
      <c r="Q780" s="8" t="s">
        <v>2982</v>
      </c>
      <c r="R780" s="61"/>
    </row>
    <row r="781" spans="1:18" ht="22.5" customHeight="1" outlineLevel="2" x14ac:dyDescent="0.2">
      <c r="A781" s="6" t="s">
        <v>12</v>
      </c>
      <c r="B781" s="2" t="s">
        <v>1698</v>
      </c>
      <c r="C781" s="8" t="s">
        <v>42</v>
      </c>
      <c r="D781" s="2" t="s">
        <v>1700</v>
      </c>
      <c r="E781" s="8" t="s">
        <v>1949</v>
      </c>
      <c r="F781" s="2" t="s">
        <v>154</v>
      </c>
      <c r="G781" s="2" t="s">
        <v>1699</v>
      </c>
      <c r="H781" s="3" t="s">
        <v>19</v>
      </c>
      <c r="I781" s="19">
        <v>616971152.89999998</v>
      </c>
      <c r="J781" s="19">
        <v>493576922.31999999</v>
      </c>
      <c r="K781" s="72">
        <v>80</v>
      </c>
      <c r="L781" s="72">
        <f>I781*40%</f>
        <v>246788461.16</v>
      </c>
      <c r="M781" s="19"/>
      <c r="N781" s="19">
        <v>493576922.31999999</v>
      </c>
      <c r="O781" s="19">
        <f t="shared" si="37"/>
        <v>246788461.16</v>
      </c>
      <c r="P781" s="1">
        <v>45562</v>
      </c>
      <c r="Q781" s="8" t="s">
        <v>2983</v>
      </c>
    </row>
    <row r="782" spans="1:18" s="44" customFormat="1" ht="56.25" customHeight="1" outlineLevel="2" x14ac:dyDescent="0.25">
      <c r="A782" s="6" t="s">
        <v>12</v>
      </c>
      <c r="B782" s="8" t="s">
        <v>1770</v>
      </c>
      <c r="C782" s="8" t="s">
        <v>42</v>
      </c>
      <c r="D782" s="8" t="s">
        <v>1774</v>
      </c>
      <c r="E782" s="8" t="s">
        <v>1949</v>
      </c>
      <c r="F782" s="8" t="s">
        <v>154</v>
      </c>
      <c r="G782" s="8" t="s">
        <v>1775</v>
      </c>
      <c r="H782" s="6" t="s">
        <v>19</v>
      </c>
      <c r="I782" s="19">
        <v>3300000</v>
      </c>
      <c r="J782" s="19">
        <v>2640000</v>
      </c>
      <c r="K782" s="72">
        <v>80</v>
      </c>
      <c r="L782" s="72">
        <f>I782*40%</f>
        <v>1320000</v>
      </c>
      <c r="M782" s="19"/>
      <c r="N782" s="19">
        <v>2640000</v>
      </c>
      <c r="O782" s="19">
        <f t="shared" si="37"/>
        <v>1320000</v>
      </c>
      <c r="P782" s="83"/>
      <c r="Q782" s="76" t="s">
        <v>2134</v>
      </c>
      <c r="R782" s="61"/>
    </row>
    <row r="783" spans="1:18" s="44" customFormat="1" ht="33.75" customHeight="1" outlineLevel="2" x14ac:dyDescent="0.25">
      <c r="A783" s="6" t="s">
        <v>12</v>
      </c>
      <c r="B783" s="8" t="s">
        <v>1811</v>
      </c>
      <c r="C783" s="8" t="s">
        <v>42</v>
      </c>
      <c r="D783" s="8" t="s">
        <v>1821</v>
      </c>
      <c r="E783" s="8" t="s">
        <v>1949</v>
      </c>
      <c r="F783" s="8" t="s">
        <v>88</v>
      </c>
      <c r="G783" s="8" t="s">
        <v>1813</v>
      </c>
      <c r="H783" s="6" t="s">
        <v>19</v>
      </c>
      <c r="I783" s="19">
        <v>462981</v>
      </c>
      <c r="J783" s="19">
        <v>370384.8</v>
      </c>
      <c r="K783" s="72">
        <v>80</v>
      </c>
      <c r="L783" s="88">
        <v>645140</v>
      </c>
      <c r="M783" s="19"/>
      <c r="N783" s="19">
        <v>370384.8</v>
      </c>
      <c r="O783" s="19">
        <f t="shared" si="37"/>
        <v>645140</v>
      </c>
      <c r="P783" s="6"/>
      <c r="Q783" s="8" t="s">
        <v>2984</v>
      </c>
      <c r="R783" s="61"/>
    </row>
    <row r="784" spans="1:18" s="44" customFormat="1" ht="22.5" customHeight="1" outlineLevel="2" x14ac:dyDescent="0.25">
      <c r="A784" s="6" t="s">
        <v>12</v>
      </c>
      <c r="B784" s="8" t="s">
        <v>1855</v>
      </c>
      <c r="C784" s="8" t="s">
        <v>42</v>
      </c>
      <c r="D784" s="8" t="s">
        <v>1860</v>
      </c>
      <c r="E784" s="8" t="s">
        <v>1949</v>
      </c>
      <c r="F784" s="8" t="s">
        <v>191</v>
      </c>
      <c r="G784" s="8" t="s">
        <v>1859</v>
      </c>
      <c r="H784" s="6" t="s">
        <v>19</v>
      </c>
      <c r="I784" s="19">
        <v>93454.27</v>
      </c>
      <c r="J784" s="19">
        <v>93454.27</v>
      </c>
      <c r="K784" s="72">
        <v>100</v>
      </c>
      <c r="L784" s="88">
        <v>206928</v>
      </c>
      <c r="M784" s="19"/>
      <c r="N784" s="19">
        <v>93454.27</v>
      </c>
      <c r="O784" s="19">
        <f t="shared" si="37"/>
        <v>206928</v>
      </c>
      <c r="P784" s="78">
        <v>45566</v>
      </c>
      <c r="Q784" s="8" t="s">
        <v>2960</v>
      </c>
      <c r="R784" s="61"/>
    </row>
    <row r="785" spans="1:18" s="44" customFormat="1" ht="56.25" customHeight="1" outlineLevel="2" x14ac:dyDescent="0.25">
      <c r="A785" s="6" t="s">
        <v>12</v>
      </c>
      <c r="B785" s="8" t="s">
        <v>1936</v>
      </c>
      <c r="C785" s="8" t="s">
        <v>42</v>
      </c>
      <c r="D785" s="8" t="s">
        <v>1940</v>
      </c>
      <c r="E785" s="8" t="s">
        <v>1949</v>
      </c>
      <c r="F785" s="8" t="s">
        <v>154</v>
      </c>
      <c r="G785" s="8" t="s">
        <v>1937</v>
      </c>
      <c r="H785" s="6" t="s">
        <v>19</v>
      </c>
      <c r="I785" s="19">
        <v>782256</v>
      </c>
      <c r="J785" s="19">
        <v>625804.80000000005</v>
      </c>
      <c r="K785" s="72">
        <v>80</v>
      </c>
      <c r="L785" s="72">
        <v>312902.40000000002</v>
      </c>
      <c r="M785" s="19"/>
      <c r="N785" s="19">
        <v>625804.80000000005</v>
      </c>
      <c r="O785" s="19">
        <f t="shared" si="37"/>
        <v>312902.40000000002</v>
      </c>
      <c r="P785" s="6"/>
      <c r="Q785" s="8" t="s">
        <v>2135</v>
      </c>
      <c r="R785" s="61"/>
    </row>
    <row r="786" spans="1:18" s="44" customFormat="1" ht="22.5" customHeight="1" outlineLevel="1" x14ac:dyDescent="0.25">
      <c r="A786" s="158"/>
      <c r="B786" s="159"/>
      <c r="C786" s="152" t="s">
        <v>1948</v>
      </c>
      <c r="D786" s="8"/>
      <c r="E786" s="159"/>
      <c r="F786" s="8"/>
      <c r="G786" s="159"/>
      <c r="H786" s="6"/>
      <c r="I786" s="28">
        <f>SUM(I681:I785)</f>
        <v>34590803966.539993</v>
      </c>
      <c r="J786" s="28">
        <f>SUM(J681:J785)</f>
        <v>20751902996.491993</v>
      </c>
      <c r="K786" s="28"/>
      <c r="L786" s="160">
        <f>SUM(L681:L785)</f>
        <v>11478018757.505995</v>
      </c>
      <c r="M786" s="160">
        <f>SUM(M681:M785)</f>
        <v>10043810826.433998</v>
      </c>
      <c r="N786" s="28">
        <f>SUM(N681:N785)</f>
        <v>10206754914.167997</v>
      </c>
      <c r="O786" s="160">
        <f>SUM(O681:O785)</f>
        <v>1434207931.0720005</v>
      </c>
      <c r="P786" s="89"/>
      <c r="Q786" s="151"/>
      <c r="R786" s="61"/>
    </row>
    <row r="787" spans="1:18" s="44" customFormat="1" ht="28.5" x14ac:dyDescent="0.25">
      <c r="A787" s="178" t="s">
        <v>12</v>
      </c>
      <c r="B787" s="179"/>
      <c r="C787" s="170" t="s">
        <v>1943</v>
      </c>
      <c r="D787" s="8"/>
      <c r="E787" s="179"/>
      <c r="F787" s="8"/>
      <c r="G787" s="179"/>
      <c r="H787" s="6"/>
      <c r="I787" s="28">
        <f>I532+I635+I680+I786</f>
        <v>40245520296.829994</v>
      </c>
      <c r="J787" s="28">
        <f>J532+J635+J680+J786</f>
        <v>25231732581.387993</v>
      </c>
      <c r="K787" s="28"/>
      <c r="L787" s="180">
        <f t="shared" ref="L787:Q787" si="39">L532+L635+L680+L786</f>
        <v>13835768029.159994</v>
      </c>
      <c r="M787" s="180">
        <f t="shared" si="39"/>
        <v>11828855217.053997</v>
      </c>
      <c r="N787" s="28">
        <f t="shared" si="39"/>
        <v>12899610941.855997</v>
      </c>
      <c r="O787" s="180">
        <f t="shared" si="39"/>
        <v>2007479146.1180005</v>
      </c>
      <c r="P787" s="153">
        <f t="shared" si="39"/>
        <v>319255</v>
      </c>
      <c r="Q787" s="153">
        <f t="shared" si="39"/>
        <v>0</v>
      </c>
      <c r="R787" s="61"/>
    </row>
    <row r="788" spans="1:18" s="44" customFormat="1" ht="105" outlineLevel="2" x14ac:dyDescent="0.25">
      <c r="A788" s="10" t="s">
        <v>40</v>
      </c>
      <c r="B788" s="2" t="s">
        <v>421</v>
      </c>
      <c r="C788" s="12" t="s">
        <v>49</v>
      </c>
      <c r="D788" s="2" t="s">
        <v>432</v>
      </c>
      <c r="E788" s="3" t="s">
        <v>29</v>
      </c>
      <c r="F788" s="3" t="s">
        <v>182</v>
      </c>
      <c r="G788" s="2" t="s">
        <v>422</v>
      </c>
      <c r="H788" s="3" t="s">
        <v>189</v>
      </c>
      <c r="I788" s="19">
        <v>4765958.6399999997</v>
      </c>
      <c r="J788" s="19">
        <v>3812766.91</v>
      </c>
      <c r="K788" s="90">
        <v>80</v>
      </c>
      <c r="L788" s="91">
        <f t="shared" ref="L788:L793" si="40">I788*0.65</f>
        <v>3097873.1159999999</v>
      </c>
      <c r="M788" s="19">
        <v>1906383.46</v>
      </c>
      <c r="N788" s="19">
        <f t="shared" ref="N788:N793" si="41">L788-M788</f>
        <v>1191489.656</v>
      </c>
      <c r="O788" s="19">
        <f t="shared" ref="O788:O793" si="42">L788-M788</f>
        <v>1191489.656</v>
      </c>
      <c r="P788" s="90"/>
      <c r="Q788" s="8" t="s">
        <v>2454</v>
      </c>
      <c r="R788" s="61"/>
    </row>
    <row r="789" spans="1:18" s="53" customFormat="1" ht="84.75" customHeight="1" outlineLevel="2" x14ac:dyDescent="0.25">
      <c r="A789" s="92" t="s">
        <v>40</v>
      </c>
      <c r="B789" s="68" t="s">
        <v>2460</v>
      </c>
      <c r="C789" s="93">
        <v>424</v>
      </c>
      <c r="D789" s="68" t="s">
        <v>2461</v>
      </c>
      <c r="E789" s="92" t="s">
        <v>29</v>
      </c>
      <c r="F789" s="92"/>
      <c r="G789" s="2" t="s">
        <v>129</v>
      </c>
      <c r="H789" s="92">
        <v>2025</v>
      </c>
      <c r="I789" s="19">
        <v>37381344</v>
      </c>
      <c r="J789" s="19">
        <f>I789*0.8</f>
        <v>29905075.200000003</v>
      </c>
      <c r="K789" s="90">
        <v>80</v>
      </c>
      <c r="L789" s="91">
        <f t="shared" si="40"/>
        <v>24297873.600000001</v>
      </c>
      <c r="M789" s="19"/>
      <c r="N789" s="19">
        <f t="shared" si="41"/>
        <v>24297873.600000001</v>
      </c>
      <c r="O789" s="19">
        <f t="shared" si="42"/>
        <v>24297873.600000001</v>
      </c>
      <c r="P789" s="94">
        <v>45545</v>
      </c>
      <c r="Q789" s="95" t="s">
        <v>2897</v>
      </c>
      <c r="R789" s="144"/>
    </row>
    <row r="790" spans="1:18" s="44" customFormat="1" ht="274.5" customHeight="1" outlineLevel="2" x14ac:dyDescent="0.25">
      <c r="A790" s="10" t="s">
        <v>40</v>
      </c>
      <c r="B790" s="2" t="s">
        <v>710</v>
      </c>
      <c r="C790" s="12" t="s">
        <v>49</v>
      </c>
      <c r="D790" s="2" t="s">
        <v>713</v>
      </c>
      <c r="E790" s="3" t="s">
        <v>29</v>
      </c>
      <c r="F790" s="3" t="s">
        <v>27</v>
      </c>
      <c r="G790" s="2" t="s">
        <v>129</v>
      </c>
      <c r="H790" s="3">
        <v>2025</v>
      </c>
      <c r="I790" s="19">
        <v>56297820</v>
      </c>
      <c r="J790" s="19">
        <v>45038256</v>
      </c>
      <c r="K790" s="90">
        <v>80</v>
      </c>
      <c r="L790" s="91">
        <f t="shared" si="40"/>
        <v>36593583</v>
      </c>
      <c r="M790" s="19">
        <v>22519128</v>
      </c>
      <c r="N790" s="19">
        <f t="shared" si="41"/>
        <v>14074455</v>
      </c>
      <c r="O790" s="19">
        <f t="shared" si="42"/>
        <v>14074455</v>
      </c>
      <c r="P790" s="96"/>
      <c r="Q790" s="8" t="s">
        <v>2473</v>
      </c>
      <c r="R790" s="61"/>
    </row>
    <row r="791" spans="1:18" s="44" customFormat="1" ht="111" customHeight="1" outlineLevel="2" x14ac:dyDescent="0.25">
      <c r="A791" s="10" t="s">
        <v>40</v>
      </c>
      <c r="B791" s="2" t="s">
        <v>2511</v>
      </c>
      <c r="C791" s="12" t="s">
        <v>49</v>
      </c>
      <c r="D791" s="2" t="s">
        <v>2603</v>
      </c>
      <c r="E791" s="3" t="s">
        <v>29</v>
      </c>
      <c r="F791" s="3" t="s">
        <v>72</v>
      </c>
      <c r="G791" s="2" t="s">
        <v>1319</v>
      </c>
      <c r="H791" s="3" t="s">
        <v>189</v>
      </c>
      <c r="I791" s="19">
        <v>2503380.7400000002</v>
      </c>
      <c r="J791" s="19">
        <v>2503380.7400000002</v>
      </c>
      <c r="K791" s="90">
        <v>100</v>
      </c>
      <c r="L791" s="91">
        <f>J791</f>
        <v>2503380.7400000002</v>
      </c>
      <c r="M791" s="19"/>
      <c r="N791" s="19">
        <f t="shared" si="41"/>
        <v>2503380.7400000002</v>
      </c>
      <c r="O791" s="19">
        <f t="shared" si="42"/>
        <v>2503380.7400000002</v>
      </c>
      <c r="P791" s="75">
        <v>45548</v>
      </c>
      <c r="Q791" s="8" t="s">
        <v>2878</v>
      </c>
      <c r="R791" s="61"/>
    </row>
    <row r="792" spans="1:18" s="44" customFormat="1" ht="75" outlineLevel="2" x14ac:dyDescent="0.25">
      <c r="A792" s="10" t="s">
        <v>40</v>
      </c>
      <c r="B792" s="2" t="s">
        <v>2598</v>
      </c>
      <c r="C792" s="12" t="s">
        <v>49</v>
      </c>
      <c r="D792" s="2" t="s">
        <v>437</v>
      </c>
      <c r="E792" s="3" t="s">
        <v>1949</v>
      </c>
      <c r="F792" s="3" t="s">
        <v>72</v>
      </c>
      <c r="G792" s="2" t="s">
        <v>434</v>
      </c>
      <c r="H792" s="3" t="s">
        <v>189</v>
      </c>
      <c r="I792" s="19">
        <v>1464101.2</v>
      </c>
      <c r="J792" s="19">
        <v>1464101.2</v>
      </c>
      <c r="K792" s="90">
        <v>100</v>
      </c>
      <c r="L792" s="91">
        <f t="shared" si="40"/>
        <v>951665.78</v>
      </c>
      <c r="M792" s="19"/>
      <c r="N792" s="19">
        <f t="shared" si="41"/>
        <v>951665.78</v>
      </c>
      <c r="O792" s="19">
        <f t="shared" si="42"/>
        <v>951665.78</v>
      </c>
      <c r="P792" s="78">
        <v>45536</v>
      </c>
      <c r="Q792" s="8" t="s">
        <v>2898</v>
      </c>
      <c r="R792" s="61"/>
    </row>
    <row r="793" spans="1:18" s="44" customFormat="1" ht="78" customHeight="1" outlineLevel="2" x14ac:dyDescent="0.25">
      <c r="A793" s="92" t="s">
        <v>40</v>
      </c>
      <c r="B793" s="2" t="s">
        <v>2506</v>
      </c>
      <c r="C793" s="12" t="s">
        <v>49</v>
      </c>
      <c r="D793" s="2" t="s">
        <v>2519</v>
      </c>
      <c r="E793" s="3" t="s">
        <v>1949</v>
      </c>
      <c r="F793" s="3" t="s">
        <v>433</v>
      </c>
      <c r="G793" s="2" t="s">
        <v>2520</v>
      </c>
      <c r="H793" s="3" t="s">
        <v>19</v>
      </c>
      <c r="I793" s="19">
        <v>1843263.84</v>
      </c>
      <c r="J793" s="19">
        <v>1843263.84</v>
      </c>
      <c r="K793" s="97">
        <v>80</v>
      </c>
      <c r="L793" s="91">
        <f t="shared" si="40"/>
        <v>1198121.496</v>
      </c>
      <c r="M793" s="19"/>
      <c r="N793" s="19">
        <f t="shared" si="41"/>
        <v>1198121.496</v>
      </c>
      <c r="O793" s="19">
        <f t="shared" si="42"/>
        <v>1198121.496</v>
      </c>
      <c r="P793" s="98"/>
      <c r="Q793" s="8" t="s">
        <v>2899</v>
      </c>
      <c r="R793" s="61"/>
    </row>
    <row r="794" spans="1:18" s="44" customFormat="1" outlineLevel="1" x14ac:dyDescent="0.25">
      <c r="A794" s="145"/>
      <c r="B794" s="147"/>
      <c r="C794" s="161" t="s">
        <v>1945</v>
      </c>
      <c r="D794" s="2"/>
      <c r="E794" s="145"/>
      <c r="F794" s="3"/>
      <c r="G794" s="147"/>
      <c r="H794" s="3"/>
      <c r="I794" s="28">
        <f>SUBTOTAL(9,I788:I793)</f>
        <v>104255868.42</v>
      </c>
      <c r="J794" s="28">
        <f t="shared" ref="J794:O794" si="43">SUBTOTAL(9,J788:J793)</f>
        <v>84566843.890000001</v>
      </c>
      <c r="K794" s="28">
        <f t="shared" si="43"/>
        <v>520</v>
      </c>
      <c r="L794" s="160">
        <f t="shared" si="43"/>
        <v>68642497.732000008</v>
      </c>
      <c r="M794" s="160">
        <f t="shared" si="43"/>
        <v>24425511.460000001</v>
      </c>
      <c r="N794" s="28">
        <f t="shared" si="43"/>
        <v>44216986.272</v>
      </c>
      <c r="O794" s="160">
        <f t="shared" si="43"/>
        <v>44216986.272</v>
      </c>
      <c r="P794" s="90"/>
      <c r="Q794" s="151"/>
      <c r="R794" s="61"/>
    </row>
    <row r="795" spans="1:18" s="44" customFormat="1" ht="30" outlineLevel="2" x14ac:dyDescent="0.25">
      <c r="A795" s="3" t="s">
        <v>40</v>
      </c>
      <c r="B795" s="2" t="s">
        <v>673</v>
      </c>
      <c r="C795" s="3" t="s">
        <v>39</v>
      </c>
      <c r="D795" s="2" t="s">
        <v>680</v>
      </c>
      <c r="E795" s="3" t="s">
        <v>29</v>
      </c>
      <c r="F795" s="3" t="s">
        <v>681</v>
      </c>
      <c r="G795" s="2" t="s">
        <v>674</v>
      </c>
      <c r="H795" s="3" t="s">
        <v>219</v>
      </c>
      <c r="I795" s="19">
        <v>751545</v>
      </c>
      <c r="J795" s="19">
        <v>751545</v>
      </c>
      <c r="K795" s="90">
        <v>100</v>
      </c>
      <c r="L795" s="91">
        <v>751545</v>
      </c>
      <c r="M795" s="19">
        <v>751545</v>
      </c>
      <c r="N795" s="19"/>
      <c r="O795" s="19">
        <f>L795-M795</f>
        <v>0</v>
      </c>
      <c r="P795" s="90"/>
      <c r="Q795" s="8" t="s">
        <v>2416</v>
      </c>
      <c r="R795" s="61"/>
    </row>
    <row r="796" spans="1:18" s="44" customFormat="1" ht="30" outlineLevel="2" x14ac:dyDescent="0.25">
      <c r="A796" s="3" t="s">
        <v>40</v>
      </c>
      <c r="B796" s="2" t="s">
        <v>1930</v>
      </c>
      <c r="C796" s="3" t="s">
        <v>39</v>
      </c>
      <c r="D796" s="2" t="s">
        <v>1931</v>
      </c>
      <c r="E796" s="3" t="s">
        <v>29</v>
      </c>
      <c r="F796" s="3" t="s">
        <v>61</v>
      </c>
      <c r="G796" s="2" t="s">
        <v>804</v>
      </c>
      <c r="H796" s="3" t="s">
        <v>219</v>
      </c>
      <c r="I796" s="19">
        <v>1090783.68</v>
      </c>
      <c r="J796" s="19">
        <v>1090783.68</v>
      </c>
      <c r="K796" s="90">
        <v>100</v>
      </c>
      <c r="L796" s="91">
        <v>1090783.68</v>
      </c>
      <c r="M796" s="19">
        <v>1090783.68</v>
      </c>
      <c r="N796" s="19"/>
      <c r="O796" s="19">
        <f>L796-M796</f>
        <v>0</v>
      </c>
      <c r="P796" s="90" t="s">
        <v>2856</v>
      </c>
      <c r="Q796" s="8" t="s">
        <v>2417</v>
      </c>
      <c r="R796" s="61"/>
    </row>
    <row r="797" spans="1:18" s="44" customFormat="1" ht="75" outlineLevel="2" x14ac:dyDescent="0.25">
      <c r="A797" s="3" t="s">
        <v>40</v>
      </c>
      <c r="B797" s="2" t="s">
        <v>520</v>
      </c>
      <c r="C797" s="3">
        <v>426</v>
      </c>
      <c r="D797" s="2" t="s">
        <v>527</v>
      </c>
      <c r="E797" s="3" t="s">
        <v>29</v>
      </c>
      <c r="F797" s="3"/>
      <c r="G797" s="2" t="s">
        <v>2857</v>
      </c>
      <c r="H797" s="3"/>
      <c r="I797" s="19">
        <v>251175</v>
      </c>
      <c r="J797" s="19">
        <v>251175</v>
      </c>
      <c r="K797" s="90"/>
      <c r="L797" s="91">
        <v>251175</v>
      </c>
      <c r="M797" s="19"/>
      <c r="N797" s="19"/>
      <c r="O797" s="19">
        <f>L797-M797</f>
        <v>251175</v>
      </c>
      <c r="P797" s="94">
        <v>45548</v>
      </c>
      <c r="Q797" s="8" t="s">
        <v>2858</v>
      </c>
      <c r="R797" s="61"/>
    </row>
    <row r="798" spans="1:18" s="44" customFormat="1" ht="75" outlineLevel="2" x14ac:dyDescent="0.25">
      <c r="A798" s="3" t="s">
        <v>40</v>
      </c>
      <c r="B798" s="2" t="s">
        <v>1124</v>
      </c>
      <c r="C798" s="3">
        <v>426</v>
      </c>
      <c r="D798" s="2" t="s">
        <v>2859</v>
      </c>
      <c r="E798" s="3" t="s">
        <v>29</v>
      </c>
      <c r="F798" s="3"/>
      <c r="G798" s="2" t="s">
        <v>2860</v>
      </c>
      <c r="H798" s="3"/>
      <c r="I798" s="19">
        <v>89799.51</v>
      </c>
      <c r="J798" s="19">
        <v>89799.51</v>
      </c>
      <c r="K798" s="90"/>
      <c r="L798" s="91">
        <v>89799.51</v>
      </c>
      <c r="M798" s="19"/>
      <c r="N798" s="19"/>
      <c r="O798" s="19">
        <f>L798-M798</f>
        <v>89799.51</v>
      </c>
      <c r="P798" s="94">
        <v>45553</v>
      </c>
      <c r="Q798" s="8" t="s">
        <v>2861</v>
      </c>
      <c r="R798" s="61"/>
    </row>
    <row r="799" spans="1:18" s="44" customFormat="1" outlineLevel="1" collapsed="1" x14ac:dyDescent="0.25">
      <c r="A799" s="145"/>
      <c r="B799" s="147"/>
      <c r="C799" s="161" t="s">
        <v>1946</v>
      </c>
      <c r="D799" s="2"/>
      <c r="E799" s="145"/>
      <c r="F799" s="3"/>
      <c r="G799" s="147"/>
      <c r="H799" s="3"/>
      <c r="I799" s="28">
        <f>SUBTOTAL(9,I795:I798)</f>
        <v>2183303.19</v>
      </c>
      <c r="J799" s="28">
        <f>SUBTOTAL(9,J795:J798)</f>
        <v>2183303.19</v>
      </c>
      <c r="K799" s="28">
        <f>SUBTOTAL(9,K795:K796)</f>
        <v>200</v>
      </c>
      <c r="L799" s="160">
        <f>SUBTOTAL(9,L795:L798)</f>
        <v>2183303.19</v>
      </c>
      <c r="M799" s="160">
        <f>SUBTOTAL(9,M795:M798)</f>
        <v>1842328.68</v>
      </c>
      <c r="N799" s="28">
        <f>SUBTOTAL(9,N795:N798)</f>
        <v>0</v>
      </c>
      <c r="O799" s="160">
        <f>SUBTOTAL(9,O795:O798)</f>
        <v>340974.51</v>
      </c>
      <c r="P799" s="90"/>
      <c r="Q799" s="6"/>
      <c r="R799" s="61"/>
    </row>
    <row r="800" spans="1:18" s="44" customFormat="1" ht="80.25" customHeight="1" outlineLevel="2" x14ac:dyDescent="0.25">
      <c r="A800" s="3" t="s">
        <v>40</v>
      </c>
      <c r="B800" s="2" t="s">
        <v>409</v>
      </c>
      <c r="C800" s="12" t="s">
        <v>14</v>
      </c>
      <c r="D800" s="2" t="s">
        <v>410</v>
      </c>
      <c r="E800" s="3" t="s">
        <v>29</v>
      </c>
      <c r="F800" s="3" t="s">
        <v>681</v>
      </c>
      <c r="G800" s="2" t="s">
        <v>18</v>
      </c>
      <c r="H800" s="3" t="s">
        <v>219</v>
      </c>
      <c r="I800" s="19">
        <v>2920200.23</v>
      </c>
      <c r="J800" s="19">
        <v>2920200.23</v>
      </c>
      <c r="K800" s="90">
        <v>100</v>
      </c>
      <c r="L800" s="91">
        <v>1168080.0919999999</v>
      </c>
      <c r="M800" s="19"/>
      <c r="N800" s="19">
        <v>2920200.23</v>
      </c>
      <c r="O800" s="19">
        <f>L800-M800</f>
        <v>1168080.0919999999</v>
      </c>
      <c r="P800" s="90"/>
      <c r="Q800" s="8" t="s">
        <v>2701</v>
      </c>
      <c r="R800" s="61"/>
    </row>
    <row r="801" spans="1:18" s="44" customFormat="1" ht="55.5" customHeight="1" outlineLevel="2" x14ac:dyDescent="0.25">
      <c r="A801" s="3" t="s">
        <v>40</v>
      </c>
      <c r="B801" s="2" t="s">
        <v>2000</v>
      </c>
      <c r="C801" s="12" t="s">
        <v>14</v>
      </c>
      <c r="D801" s="2" t="s">
        <v>2003</v>
      </c>
      <c r="E801" s="3" t="s">
        <v>29</v>
      </c>
      <c r="F801" s="3" t="s">
        <v>681</v>
      </c>
      <c r="G801" s="2"/>
      <c r="H801" s="3" t="s">
        <v>219</v>
      </c>
      <c r="I801" s="19">
        <v>15480</v>
      </c>
      <c r="J801" s="19">
        <v>15480</v>
      </c>
      <c r="K801" s="90">
        <v>100</v>
      </c>
      <c r="L801" s="19">
        <v>15480</v>
      </c>
      <c r="M801" s="19">
        <v>15480</v>
      </c>
      <c r="N801" s="19">
        <v>0</v>
      </c>
      <c r="O801" s="19">
        <f t="shared" ref="O801:O813" si="44">L801-M801</f>
        <v>0</v>
      </c>
      <c r="P801" s="90"/>
      <c r="Q801" s="8" t="s">
        <v>2687</v>
      </c>
      <c r="R801" s="61"/>
    </row>
    <row r="802" spans="1:18" s="44" customFormat="1" ht="33" customHeight="1" outlineLevel="2" x14ac:dyDescent="0.25">
      <c r="A802" s="3" t="s">
        <v>40</v>
      </c>
      <c r="B802" s="2" t="s">
        <v>1994</v>
      </c>
      <c r="C802" s="12" t="s">
        <v>14</v>
      </c>
      <c r="D802" s="2" t="s">
        <v>2002</v>
      </c>
      <c r="E802" s="3" t="s">
        <v>1949</v>
      </c>
      <c r="F802" s="3" t="s">
        <v>681</v>
      </c>
      <c r="G802" s="2"/>
      <c r="H802" s="3" t="s">
        <v>219</v>
      </c>
      <c r="I802" s="19">
        <v>2892604.0784313725</v>
      </c>
      <c r="J802" s="19">
        <v>2892604.0784313725</v>
      </c>
      <c r="K802" s="90">
        <v>100</v>
      </c>
      <c r="L802" s="91">
        <v>1157041.6313725491</v>
      </c>
      <c r="M802" s="19"/>
      <c r="N802" s="19">
        <v>2892604.0784313725</v>
      </c>
      <c r="O802" s="19">
        <f t="shared" si="44"/>
        <v>1157041.6313725491</v>
      </c>
      <c r="P802" s="90"/>
      <c r="Q802" s="8" t="s">
        <v>2689</v>
      </c>
      <c r="R802" s="61"/>
    </row>
    <row r="803" spans="1:18" s="44" customFormat="1" ht="33" customHeight="1" outlineLevel="2" x14ac:dyDescent="0.25">
      <c r="A803" s="3" t="s">
        <v>40</v>
      </c>
      <c r="B803" s="2" t="s">
        <v>1995</v>
      </c>
      <c r="C803" s="12" t="s">
        <v>14</v>
      </c>
      <c r="D803" s="2"/>
      <c r="E803" s="3" t="s">
        <v>1949</v>
      </c>
      <c r="F803" s="3" t="s">
        <v>681</v>
      </c>
      <c r="G803" s="2"/>
      <c r="H803" s="3" t="s">
        <v>219</v>
      </c>
      <c r="I803" s="19">
        <v>1632181.32</v>
      </c>
      <c r="J803" s="19">
        <v>1305745.0560000001</v>
      </c>
      <c r="K803" s="90">
        <v>80</v>
      </c>
      <c r="L803" s="91">
        <v>652872.52800000005</v>
      </c>
      <c r="M803" s="19"/>
      <c r="N803" s="19">
        <v>1305745.0560000001</v>
      </c>
      <c r="O803" s="19">
        <f t="shared" si="44"/>
        <v>652872.52800000005</v>
      </c>
      <c r="P803" s="90"/>
      <c r="Q803" s="8" t="s">
        <v>2689</v>
      </c>
      <c r="R803" s="61"/>
    </row>
    <row r="804" spans="1:18" s="44" customFormat="1" ht="39" customHeight="1" outlineLevel="2" x14ac:dyDescent="0.25">
      <c r="A804" s="3" t="s">
        <v>40</v>
      </c>
      <c r="B804" s="2" t="s">
        <v>1996</v>
      </c>
      <c r="C804" s="12" t="s">
        <v>14</v>
      </c>
      <c r="D804" s="2"/>
      <c r="E804" s="3" t="s">
        <v>1949</v>
      </c>
      <c r="F804" s="3" t="s">
        <v>681</v>
      </c>
      <c r="G804" s="2"/>
      <c r="H804" s="3" t="s">
        <v>219</v>
      </c>
      <c r="I804" s="19">
        <v>840102.33</v>
      </c>
      <c r="J804" s="19">
        <v>672081.86400000006</v>
      </c>
      <c r="K804" s="90">
        <v>80</v>
      </c>
      <c r="L804" s="91">
        <v>336040.93200000003</v>
      </c>
      <c r="M804" s="19"/>
      <c r="N804" s="19">
        <v>672081.86400000006</v>
      </c>
      <c r="O804" s="19">
        <f t="shared" si="44"/>
        <v>336040.93200000003</v>
      </c>
      <c r="P804" s="90"/>
      <c r="Q804" s="8" t="s">
        <v>2691</v>
      </c>
      <c r="R804" s="61"/>
    </row>
    <row r="805" spans="1:18" s="44" customFormat="1" ht="46.5" customHeight="1" outlineLevel="2" x14ac:dyDescent="0.25">
      <c r="A805" s="3" t="s">
        <v>40</v>
      </c>
      <c r="B805" s="2" t="s">
        <v>1997</v>
      </c>
      <c r="C805" s="12" t="s">
        <v>14</v>
      </c>
      <c r="D805" s="2"/>
      <c r="E805" s="3" t="s">
        <v>1949</v>
      </c>
      <c r="F805" s="3" t="s">
        <v>681</v>
      </c>
      <c r="G805" s="2" t="s">
        <v>1554</v>
      </c>
      <c r="H805" s="3" t="s">
        <v>219</v>
      </c>
      <c r="I805" s="19">
        <v>239580</v>
      </c>
      <c r="J805" s="19">
        <v>191664</v>
      </c>
      <c r="K805" s="90">
        <v>80</v>
      </c>
      <c r="L805" s="91">
        <v>95832</v>
      </c>
      <c r="M805" s="19"/>
      <c r="N805" s="19">
        <v>191664</v>
      </c>
      <c r="O805" s="19">
        <f t="shared" si="44"/>
        <v>95832</v>
      </c>
      <c r="P805" s="90"/>
      <c r="Q805" s="8" t="s">
        <v>2692</v>
      </c>
      <c r="R805" s="61"/>
    </row>
    <row r="806" spans="1:18" s="44" customFormat="1" ht="53.25" customHeight="1" outlineLevel="2" x14ac:dyDescent="0.25">
      <c r="A806" s="3" t="s">
        <v>40</v>
      </c>
      <c r="B806" s="2" t="s">
        <v>1998</v>
      </c>
      <c r="C806" s="12" t="s">
        <v>14</v>
      </c>
      <c r="D806" s="2"/>
      <c r="E806" s="3" t="s">
        <v>1949</v>
      </c>
      <c r="F806" s="3" t="s">
        <v>681</v>
      </c>
      <c r="G806" s="2" t="s">
        <v>2727</v>
      </c>
      <c r="H806" s="3" t="s">
        <v>219</v>
      </c>
      <c r="I806" s="19">
        <v>205000</v>
      </c>
      <c r="J806" s="19">
        <v>164000</v>
      </c>
      <c r="K806" s="90">
        <v>80</v>
      </c>
      <c r="L806" s="91">
        <v>82000</v>
      </c>
      <c r="M806" s="19"/>
      <c r="N806" s="19">
        <v>164000</v>
      </c>
      <c r="O806" s="19">
        <f t="shared" si="44"/>
        <v>82000</v>
      </c>
      <c r="P806" s="90"/>
      <c r="Q806" s="8" t="s">
        <v>2692</v>
      </c>
      <c r="R806" s="61"/>
    </row>
    <row r="807" spans="1:18" s="44" customFormat="1" ht="47.25" customHeight="1" outlineLevel="2" x14ac:dyDescent="0.25">
      <c r="A807" s="3" t="s">
        <v>40</v>
      </c>
      <c r="B807" s="2" t="s">
        <v>1998</v>
      </c>
      <c r="C807" s="12" t="s">
        <v>14</v>
      </c>
      <c r="D807" s="2"/>
      <c r="E807" s="3" t="s">
        <v>1949</v>
      </c>
      <c r="F807" s="3" t="s">
        <v>681</v>
      </c>
      <c r="G807" s="2" t="s">
        <v>2728</v>
      </c>
      <c r="H807" s="3" t="s">
        <v>219</v>
      </c>
      <c r="I807" s="19">
        <v>1568400</v>
      </c>
      <c r="J807" s="19">
        <v>1254720</v>
      </c>
      <c r="K807" s="90">
        <v>80</v>
      </c>
      <c r="L807" s="91">
        <v>627360</v>
      </c>
      <c r="M807" s="19"/>
      <c r="N807" s="19">
        <v>1254720</v>
      </c>
      <c r="O807" s="19">
        <f t="shared" si="44"/>
        <v>627360</v>
      </c>
      <c r="P807" s="90"/>
      <c r="Q807" s="8" t="s">
        <v>2692</v>
      </c>
      <c r="R807" s="61"/>
    </row>
    <row r="808" spans="1:18" s="44" customFormat="1" ht="44.25" customHeight="1" outlineLevel="2" x14ac:dyDescent="0.25">
      <c r="A808" s="3" t="s">
        <v>40</v>
      </c>
      <c r="B808" s="2" t="s">
        <v>1998</v>
      </c>
      <c r="C808" s="12" t="s">
        <v>14</v>
      </c>
      <c r="D808" s="2"/>
      <c r="E808" s="3" t="s">
        <v>1949</v>
      </c>
      <c r="F808" s="3" t="s">
        <v>681</v>
      </c>
      <c r="G808" s="2" t="s">
        <v>2729</v>
      </c>
      <c r="H808" s="3" t="s">
        <v>219</v>
      </c>
      <c r="I808" s="19">
        <v>1232950</v>
      </c>
      <c r="J808" s="19">
        <v>986360</v>
      </c>
      <c r="K808" s="90">
        <v>80</v>
      </c>
      <c r="L808" s="91">
        <v>493180</v>
      </c>
      <c r="M808" s="19"/>
      <c r="N808" s="19">
        <v>986360</v>
      </c>
      <c r="O808" s="19">
        <f t="shared" si="44"/>
        <v>493180</v>
      </c>
      <c r="P808" s="90"/>
      <c r="Q808" s="8" t="s">
        <v>2695</v>
      </c>
      <c r="R808" s="61"/>
    </row>
    <row r="809" spans="1:18" s="44" customFormat="1" ht="62.25" customHeight="1" outlineLevel="2" x14ac:dyDescent="0.25">
      <c r="A809" s="3" t="s">
        <v>40</v>
      </c>
      <c r="B809" s="2" t="s">
        <v>1999</v>
      </c>
      <c r="C809" s="12" t="s">
        <v>14</v>
      </c>
      <c r="D809" s="2"/>
      <c r="E809" s="3" t="s">
        <v>1949</v>
      </c>
      <c r="F809" s="3" t="s">
        <v>681</v>
      </c>
      <c r="G809" s="2" t="s">
        <v>2730</v>
      </c>
      <c r="H809" s="3" t="s">
        <v>219</v>
      </c>
      <c r="I809" s="19">
        <v>4118966</v>
      </c>
      <c r="J809" s="19">
        <v>3295172.8000000003</v>
      </c>
      <c r="K809" s="90">
        <v>80</v>
      </c>
      <c r="L809" s="91">
        <v>1647586.4000000001</v>
      </c>
      <c r="M809" s="19"/>
      <c r="N809" s="19">
        <v>3295172.8000000003</v>
      </c>
      <c r="O809" s="19">
        <f t="shared" si="44"/>
        <v>1647586.4000000001</v>
      </c>
      <c r="P809" s="90"/>
      <c r="Q809" s="6" t="s">
        <v>2597</v>
      </c>
      <c r="R809" s="61"/>
    </row>
    <row r="810" spans="1:18" s="44" customFormat="1" ht="45" outlineLevel="2" x14ac:dyDescent="0.25">
      <c r="A810" s="3" t="s">
        <v>40</v>
      </c>
      <c r="B810" s="2" t="s">
        <v>2001</v>
      </c>
      <c r="C810" s="12" t="s">
        <v>14</v>
      </c>
      <c r="D810" s="2"/>
      <c r="E810" s="3" t="s">
        <v>1949</v>
      </c>
      <c r="F810" s="3" t="s">
        <v>681</v>
      </c>
      <c r="G810" s="2"/>
      <c r="H810" s="3" t="s">
        <v>219</v>
      </c>
      <c r="I810" s="19">
        <v>6887161.1481599994</v>
      </c>
      <c r="J810" s="19">
        <v>5509728.9185279999</v>
      </c>
      <c r="K810" s="90">
        <v>80</v>
      </c>
      <c r="L810" s="91">
        <v>2754864.4592639999</v>
      </c>
      <c r="M810" s="19"/>
      <c r="N810" s="19">
        <v>5509728.9185279999</v>
      </c>
      <c r="O810" s="19">
        <f t="shared" si="44"/>
        <v>2754864.4592639999</v>
      </c>
      <c r="P810" s="90"/>
      <c r="Q810" s="8" t="s">
        <v>2731</v>
      </c>
      <c r="R810" s="61"/>
    </row>
    <row r="811" spans="1:18" s="44" customFormat="1" ht="60" outlineLevel="2" x14ac:dyDescent="0.25">
      <c r="A811" s="3" t="s">
        <v>40</v>
      </c>
      <c r="B811" s="2" t="s">
        <v>2693</v>
      </c>
      <c r="C811" s="12" t="s">
        <v>14</v>
      </c>
      <c r="D811" s="2" t="s">
        <v>2714</v>
      </c>
      <c r="E811" s="3" t="s">
        <v>1949</v>
      </c>
      <c r="F811" s="3" t="s">
        <v>1585</v>
      </c>
      <c r="G811" s="2" t="s">
        <v>1585</v>
      </c>
      <c r="H811" s="3" t="s">
        <v>219</v>
      </c>
      <c r="I811" s="91">
        <v>20000000</v>
      </c>
      <c r="J811" s="19">
        <v>10000000</v>
      </c>
      <c r="K811" s="90">
        <v>80</v>
      </c>
      <c r="L811" s="91">
        <v>4000000</v>
      </c>
      <c r="M811" s="19"/>
      <c r="N811" s="19"/>
      <c r="O811" s="19">
        <f t="shared" si="44"/>
        <v>4000000</v>
      </c>
      <c r="P811" s="90"/>
      <c r="Q811" s="99" t="s">
        <v>2732</v>
      </c>
      <c r="R811" s="61"/>
    </row>
    <row r="812" spans="1:18" s="44" customFormat="1" ht="60" outlineLevel="2" x14ac:dyDescent="0.25">
      <c r="A812" s="3" t="s">
        <v>40</v>
      </c>
      <c r="B812" s="2" t="s">
        <v>1954</v>
      </c>
      <c r="C812" s="12" t="s">
        <v>14</v>
      </c>
      <c r="D812" s="2"/>
      <c r="E812" s="3" t="s">
        <v>1949</v>
      </c>
      <c r="F812" s="3" t="s">
        <v>681</v>
      </c>
      <c r="G812" s="2"/>
      <c r="H812" s="3" t="s">
        <v>219</v>
      </c>
      <c r="I812" s="19">
        <v>3000000</v>
      </c>
      <c r="J812" s="19">
        <v>3000000</v>
      </c>
      <c r="K812" s="90">
        <v>100</v>
      </c>
      <c r="L812" s="91">
        <v>1200000</v>
      </c>
      <c r="M812" s="19"/>
      <c r="N812" s="19">
        <v>3000000</v>
      </c>
      <c r="O812" s="19">
        <f t="shared" si="44"/>
        <v>1200000</v>
      </c>
      <c r="P812" s="90"/>
      <c r="Q812" s="8" t="s">
        <v>2733</v>
      </c>
      <c r="R812" s="61"/>
    </row>
    <row r="813" spans="1:18" s="44" customFormat="1" ht="60" outlineLevel="2" x14ac:dyDescent="0.25">
      <c r="A813" s="3" t="s">
        <v>40</v>
      </c>
      <c r="B813" s="2" t="s">
        <v>1315</v>
      </c>
      <c r="C813" s="12">
        <v>427</v>
      </c>
      <c r="D813" s="2"/>
      <c r="E813" s="3" t="s">
        <v>2117</v>
      </c>
      <c r="F813" s="3"/>
      <c r="G813" s="2" t="s">
        <v>1170</v>
      </c>
      <c r="H813" s="3" t="s">
        <v>219</v>
      </c>
      <c r="I813" s="19">
        <v>50000</v>
      </c>
      <c r="J813" s="19">
        <v>50000</v>
      </c>
      <c r="K813" s="90">
        <v>100</v>
      </c>
      <c r="L813" s="91">
        <v>20000</v>
      </c>
      <c r="M813" s="19"/>
      <c r="N813" s="19">
        <v>50000</v>
      </c>
      <c r="O813" s="19">
        <f t="shared" si="44"/>
        <v>20000</v>
      </c>
      <c r="P813" s="90"/>
      <c r="Q813" s="8" t="s">
        <v>1972</v>
      </c>
      <c r="R813" s="61"/>
    </row>
    <row r="814" spans="1:18" s="44" customFormat="1" ht="13.5" customHeight="1" outlineLevel="1" x14ac:dyDescent="0.25">
      <c r="A814" s="145"/>
      <c r="B814" s="147"/>
      <c r="C814" s="161" t="s">
        <v>1947</v>
      </c>
      <c r="D814" s="2"/>
      <c r="E814" s="145"/>
      <c r="F814" s="3"/>
      <c r="G814" s="147"/>
      <c r="H814" s="3"/>
      <c r="I814" s="28">
        <f>SUM(I800:I813)</f>
        <v>45602625.106591374</v>
      </c>
      <c r="J814" s="28">
        <f t="shared" ref="J814:O814" si="45">SUM(J800:J813)</f>
        <v>32257756.946959373</v>
      </c>
      <c r="K814" s="28">
        <f t="shared" si="45"/>
        <v>1220</v>
      </c>
      <c r="L814" s="160">
        <f t="shared" si="45"/>
        <v>14250338.042636549</v>
      </c>
      <c r="M814" s="160">
        <f t="shared" si="45"/>
        <v>15480</v>
      </c>
      <c r="N814" s="28">
        <f t="shared" si="45"/>
        <v>22242276.946959373</v>
      </c>
      <c r="O814" s="160">
        <f t="shared" si="45"/>
        <v>14234858.042636549</v>
      </c>
      <c r="P814" s="90"/>
      <c r="Q814" s="6"/>
      <c r="R814" s="61"/>
    </row>
    <row r="815" spans="1:18" s="44" customFormat="1" ht="45" outlineLevel="2" x14ac:dyDescent="0.25">
      <c r="A815" s="3" t="s">
        <v>40</v>
      </c>
      <c r="B815" s="2" t="s">
        <v>924</v>
      </c>
      <c r="C815" s="6" t="s">
        <v>42</v>
      </c>
      <c r="D815" s="2" t="s">
        <v>929</v>
      </c>
      <c r="E815" s="3" t="s">
        <v>29</v>
      </c>
      <c r="F815" s="3" t="s">
        <v>188</v>
      </c>
      <c r="G815" s="2" t="s">
        <v>930</v>
      </c>
      <c r="H815" s="3" t="s">
        <v>189</v>
      </c>
      <c r="I815" s="19">
        <v>227701.33</v>
      </c>
      <c r="J815" s="19">
        <v>227701.33</v>
      </c>
      <c r="K815" s="90">
        <v>100</v>
      </c>
      <c r="L815" s="91">
        <f>I815*65%</f>
        <v>148005.8645</v>
      </c>
      <c r="M815" s="19"/>
      <c r="N815" s="19">
        <v>227701.33</v>
      </c>
      <c r="O815" s="19">
        <f>L815-M815</f>
        <v>148005.8645</v>
      </c>
      <c r="P815" s="100" t="s">
        <v>2371</v>
      </c>
      <c r="Q815" s="8" t="s">
        <v>2372</v>
      </c>
      <c r="R815" s="61"/>
    </row>
    <row r="816" spans="1:18" s="44" customFormat="1" ht="45" outlineLevel="2" x14ac:dyDescent="0.25">
      <c r="A816" s="3" t="s">
        <v>40</v>
      </c>
      <c r="B816" s="2" t="s">
        <v>183</v>
      </c>
      <c r="C816" s="6" t="s">
        <v>42</v>
      </c>
      <c r="D816" s="2" t="s">
        <v>187</v>
      </c>
      <c r="E816" s="3" t="s">
        <v>29</v>
      </c>
      <c r="F816" s="3" t="s">
        <v>188</v>
      </c>
      <c r="G816" s="2" t="s">
        <v>184</v>
      </c>
      <c r="H816" s="3" t="s">
        <v>189</v>
      </c>
      <c r="I816" s="19">
        <v>305877.59999999998</v>
      </c>
      <c r="J816" s="19">
        <v>244555.2</v>
      </c>
      <c r="K816" s="90">
        <v>80</v>
      </c>
      <c r="L816" s="91">
        <v>244555.2</v>
      </c>
      <c r="M816" s="19">
        <v>244555.2</v>
      </c>
      <c r="N816" s="19"/>
      <c r="O816" s="19">
        <f t="shared" ref="O816:O872" si="46">L816-M816</f>
        <v>0</v>
      </c>
      <c r="P816" s="90"/>
      <c r="Q816" s="8" t="s">
        <v>2373</v>
      </c>
      <c r="R816" s="61"/>
    </row>
    <row r="817" spans="1:18" s="44" customFormat="1" ht="54.75" customHeight="1" outlineLevel="2" x14ac:dyDescent="0.25">
      <c r="A817" s="3" t="s">
        <v>40</v>
      </c>
      <c r="B817" s="2" t="s">
        <v>206</v>
      </c>
      <c r="C817" s="6" t="s">
        <v>42</v>
      </c>
      <c r="D817" s="2" t="s">
        <v>216</v>
      </c>
      <c r="E817" s="3" t="s">
        <v>29</v>
      </c>
      <c r="F817" s="3" t="s">
        <v>218</v>
      </c>
      <c r="G817" s="2" t="s">
        <v>217</v>
      </c>
      <c r="H817" s="3" t="s">
        <v>219</v>
      </c>
      <c r="I817" s="19">
        <v>1345729845.8599999</v>
      </c>
      <c r="J817" s="19">
        <v>436497528.76999998</v>
      </c>
      <c r="K817" s="90">
        <v>32</v>
      </c>
      <c r="L817" s="91">
        <v>354654242.11749995</v>
      </c>
      <c r="M817" s="19">
        <v>218248764.38</v>
      </c>
      <c r="N817" s="19">
        <v>218248764.38999999</v>
      </c>
      <c r="O817" s="19">
        <f t="shared" si="46"/>
        <v>136405477.73749995</v>
      </c>
      <c r="P817" s="90"/>
      <c r="Q817" s="8" t="s">
        <v>2374</v>
      </c>
      <c r="R817" s="61"/>
    </row>
    <row r="818" spans="1:18" s="44" customFormat="1" ht="45" outlineLevel="2" x14ac:dyDescent="0.25">
      <c r="A818" s="3" t="s">
        <v>40</v>
      </c>
      <c r="B818" s="2" t="s">
        <v>2533</v>
      </c>
      <c r="C818" s="6" t="s">
        <v>42</v>
      </c>
      <c r="D818" s="2" t="s">
        <v>370</v>
      </c>
      <c r="E818" s="3" t="s">
        <v>29</v>
      </c>
      <c r="F818" s="3" t="s">
        <v>188</v>
      </c>
      <c r="G818" s="2" t="s">
        <v>371</v>
      </c>
      <c r="H818" s="3" t="s">
        <v>189</v>
      </c>
      <c r="I818" s="19">
        <v>63606.720000000001</v>
      </c>
      <c r="J818" s="19">
        <v>63606.720000000001</v>
      </c>
      <c r="K818" s="90">
        <v>100</v>
      </c>
      <c r="L818" s="91">
        <v>63606.720000000001</v>
      </c>
      <c r="M818" s="19">
        <v>63606.720000000001</v>
      </c>
      <c r="N818" s="19">
        <f>J818-M818</f>
        <v>0</v>
      </c>
      <c r="O818" s="19">
        <f t="shared" si="46"/>
        <v>0</v>
      </c>
      <c r="P818" s="94">
        <v>45532</v>
      </c>
      <c r="Q818" s="8" t="s">
        <v>2583</v>
      </c>
      <c r="R818" s="61"/>
    </row>
    <row r="819" spans="1:18" s="44" customFormat="1" ht="30" outlineLevel="2" x14ac:dyDescent="0.25">
      <c r="A819" s="3" t="s">
        <v>40</v>
      </c>
      <c r="B819" s="2" t="s">
        <v>381</v>
      </c>
      <c r="C819" s="6" t="s">
        <v>42</v>
      </c>
      <c r="D819" s="2" t="s">
        <v>391</v>
      </c>
      <c r="E819" s="3" t="s">
        <v>29</v>
      </c>
      <c r="F819" s="3" t="s">
        <v>81</v>
      </c>
      <c r="G819" s="2" t="s">
        <v>203</v>
      </c>
      <c r="H819" s="3" t="s">
        <v>219</v>
      </c>
      <c r="I819" s="19">
        <v>58162809.710000001</v>
      </c>
      <c r="J819" s="19">
        <v>33417998.02</v>
      </c>
      <c r="K819" s="90">
        <v>57</v>
      </c>
      <c r="L819" s="91">
        <f>I819*65%</f>
        <v>37805826.311500005</v>
      </c>
      <c r="M819" s="19">
        <v>20896803.239999998</v>
      </c>
      <c r="N819" s="19">
        <v>12521194.779999999</v>
      </c>
      <c r="O819" s="19">
        <f t="shared" si="46"/>
        <v>16909023.071500007</v>
      </c>
      <c r="P819" s="90"/>
      <c r="Q819" s="8" t="s">
        <v>2584</v>
      </c>
      <c r="R819" s="61"/>
    </row>
    <row r="820" spans="1:18" s="44" customFormat="1" ht="30" outlineLevel="2" x14ac:dyDescent="0.25">
      <c r="A820" s="3" t="s">
        <v>40</v>
      </c>
      <c r="B820" s="2" t="s">
        <v>2788</v>
      </c>
      <c r="C820" s="6" t="s">
        <v>42</v>
      </c>
      <c r="D820" s="2" t="s">
        <v>402</v>
      </c>
      <c r="E820" s="3" t="s">
        <v>29</v>
      </c>
      <c r="F820" s="3" t="s">
        <v>403</v>
      </c>
      <c r="G820" s="2" t="s">
        <v>398</v>
      </c>
      <c r="H820" s="12" t="s">
        <v>219</v>
      </c>
      <c r="I820" s="19">
        <v>1308996</v>
      </c>
      <c r="J820" s="19">
        <v>530400</v>
      </c>
      <c r="K820" s="90">
        <v>41</v>
      </c>
      <c r="L820" s="91">
        <v>344760</v>
      </c>
      <c r="M820" s="19">
        <v>530400</v>
      </c>
      <c r="N820" s="19">
        <f>J820-M820</f>
        <v>0</v>
      </c>
      <c r="O820" s="19"/>
      <c r="P820" s="90"/>
      <c r="Q820" s="8" t="s">
        <v>2789</v>
      </c>
      <c r="R820" s="61"/>
    </row>
    <row r="821" spans="1:18" ht="46.5" customHeight="1" outlineLevel="2" x14ac:dyDescent="0.2">
      <c r="A821" s="3" t="s">
        <v>40</v>
      </c>
      <c r="B821" s="2" t="s">
        <v>2004</v>
      </c>
      <c r="C821" s="6">
        <v>429</v>
      </c>
      <c r="D821" s="2" t="s">
        <v>2005</v>
      </c>
      <c r="E821" s="3" t="s">
        <v>29</v>
      </c>
      <c r="F821" s="3" t="s">
        <v>81</v>
      </c>
      <c r="G821" s="2" t="s">
        <v>2006</v>
      </c>
      <c r="H821" s="3" t="s">
        <v>219</v>
      </c>
      <c r="I821" s="19">
        <v>284866525.13</v>
      </c>
      <c r="J821" s="19">
        <f>I821*0.5</f>
        <v>142433262.565</v>
      </c>
      <c r="K821" s="90"/>
      <c r="L821" s="91">
        <v>78024711.709999993</v>
      </c>
      <c r="M821" s="19">
        <v>35160004.979999997</v>
      </c>
      <c r="N821" s="19">
        <f>J821-M821</f>
        <v>107273257.58500001</v>
      </c>
      <c r="O821" s="19">
        <f t="shared" si="46"/>
        <v>42864706.729999997</v>
      </c>
      <c r="P821" s="90"/>
      <c r="Q821" s="8" t="s">
        <v>2376</v>
      </c>
    </row>
    <row r="822" spans="1:18" s="44" customFormat="1" ht="29.25" customHeight="1" outlineLevel="2" x14ac:dyDescent="0.25">
      <c r="A822" s="3" t="s">
        <v>40</v>
      </c>
      <c r="B822" s="2" t="s">
        <v>1306</v>
      </c>
      <c r="C822" s="6">
        <v>429</v>
      </c>
      <c r="D822" s="2" t="s">
        <v>2007</v>
      </c>
      <c r="E822" s="3" t="s">
        <v>29</v>
      </c>
      <c r="F822" s="3"/>
      <c r="G822" s="2" t="s">
        <v>2008</v>
      </c>
      <c r="H822" s="3" t="s">
        <v>219</v>
      </c>
      <c r="I822" s="19">
        <v>161760.34</v>
      </c>
      <c r="J822" s="19">
        <v>67376.28</v>
      </c>
      <c r="K822" s="90"/>
      <c r="L822" s="91">
        <f>I822*65%</f>
        <v>105144.22100000001</v>
      </c>
      <c r="M822" s="19">
        <v>0</v>
      </c>
      <c r="N822" s="19">
        <f>J822-M822</f>
        <v>67376.28</v>
      </c>
      <c r="O822" s="19">
        <f t="shared" si="46"/>
        <v>105144.22100000001</v>
      </c>
      <c r="P822" s="94">
        <v>45562</v>
      </c>
      <c r="Q822" s="2" t="s">
        <v>2985</v>
      </c>
      <c r="R822" s="61"/>
    </row>
    <row r="823" spans="1:18" s="44" customFormat="1" ht="82.5" customHeight="1" outlineLevel="2" x14ac:dyDescent="0.25">
      <c r="A823" s="3" t="s">
        <v>40</v>
      </c>
      <c r="B823" s="2" t="s">
        <v>585</v>
      </c>
      <c r="C823" s="6">
        <v>429</v>
      </c>
      <c r="D823" s="2" t="s">
        <v>595</v>
      </c>
      <c r="E823" s="3" t="s">
        <v>29</v>
      </c>
      <c r="F823" s="3"/>
      <c r="G823" s="2" t="s">
        <v>2009</v>
      </c>
      <c r="H823" s="3" t="s">
        <v>219</v>
      </c>
      <c r="I823" s="19">
        <v>10381608</v>
      </c>
      <c r="J823" s="19">
        <f>I823*0.8</f>
        <v>8305286.4000000004</v>
      </c>
      <c r="K823" s="90"/>
      <c r="L823" s="91">
        <f>I823*65%</f>
        <v>6748045.2000000002</v>
      </c>
      <c r="M823" s="19">
        <v>6228964.7999999998</v>
      </c>
      <c r="N823" s="19">
        <f>J823-M823</f>
        <v>2076321.6000000006</v>
      </c>
      <c r="O823" s="19">
        <f t="shared" si="46"/>
        <v>519080.40000000037</v>
      </c>
      <c r="P823" s="90"/>
      <c r="Q823" s="2" t="s">
        <v>2986</v>
      </c>
      <c r="R823" s="61"/>
    </row>
    <row r="824" spans="1:18" s="44" customFormat="1" ht="45" customHeight="1" outlineLevel="2" x14ac:dyDescent="0.25">
      <c r="A824" s="3" t="s">
        <v>40</v>
      </c>
      <c r="B824" s="2" t="s">
        <v>585</v>
      </c>
      <c r="C824" s="6">
        <v>429</v>
      </c>
      <c r="D824" s="8" t="s">
        <v>597</v>
      </c>
      <c r="E824" s="3" t="s">
        <v>29</v>
      </c>
      <c r="F824" s="3"/>
      <c r="G824" s="2" t="s">
        <v>2377</v>
      </c>
      <c r="H824" s="3"/>
      <c r="I824" s="19">
        <v>52547605.439999998</v>
      </c>
      <c r="J824" s="19">
        <v>42038084.350000001</v>
      </c>
      <c r="K824" s="90"/>
      <c r="L824" s="91">
        <v>42038084.350000001</v>
      </c>
      <c r="M824" s="19">
        <v>42038084.350000001</v>
      </c>
      <c r="N824" s="19"/>
      <c r="O824" s="19">
        <f t="shared" si="46"/>
        <v>0</v>
      </c>
      <c r="P824" s="90"/>
      <c r="Q824" s="3" t="s">
        <v>2585</v>
      </c>
      <c r="R824" s="61"/>
    </row>
    <row r="825" spans="1:18" s="44" customFormat="1" ht="52.5" customHeight="1" outlineLevel="2" x14ac:dyDescent="0.25">
      <c r="A825" s="3" t="s">
        <v>40</v>
      </c>
      <c r="B825" s="2" t="s">
        <v>2563</v>
      </c>
      <c r="C825" s="6">
        <v>429</v>
      </c>
      <c r="D825" s="8" t="s">
        <v>2786</v>
      </c>
      <c r="E825" s="3" t="s">
        <v>29</v>
      </c>
      <c r="F825" s="3"/>
      <c r="G825" s="2" t="s">
        <v>2010</v>
      </c>
      <c r="H825" s="3" t="s">
        <v>219</v>
      </c>
      <c r="I825" s="19">
        <v>23237136</v>
      </c>
      <c r="J825" s="19">
        <v>18589708.800000001</v>
      </c>
      <c r="K825" s="90">
        <v>80</v>
      </c>
      <c r="L825" s="91">
        <f>I825*65%</f>
        <v>15104138.4</v>
      </c>
      <c r="M825" s="19">
        <v>9226089.5999999996</v>
      </c>
      <c r="N825" s="19">
        <f>J825-M825</f>
        <v>9363619.2000000011</v>
      </c>
      <c r="O825" s="19">
        <f t="shared" si="46"/>
        <v>5878048.8000000007</v>
      </c>
      <c r="P825" s="90"/>
      <c r="Q825" s="8" t="s">
        <v>2787</v>
      </c>
      <c r="R825" s="61"/>
    </row>
    <row r="826" spans="1:18" s="44" customFormat="1" ht="29.25" customHeight="1" outlineLevel="2" x14ac:dyDescent="0.25">
      <c r="A826" s="3" t="s">
        <v>40</v>
      </c>
      <c r="B826" s="2" t="s">
        <v>818</v>
      </c>
      <c r="C826" s="6" t="s">
        <v>42</v>
      </c>
      <c r="D826" s="2" t="s">
        <v>825</v>
      </c>
      <c r="E826" s="3" t="s">
        <v>29</v>
      </c>
      <c r="F826" s="3" t="s">
        <v>81</v>
      </c>
      <c r="G826" s="2" t="s">
        <v>821</v>
      </c>
      <c r="H826" s="3" t="s">
        <v>219</v>
      </c>
      <c r="I826" s="19">
        <v>8370415.7999999998</v>
      </c>
      <c r="J826" s="19">
        <v>2715007.1</v>
      </c>
      <c r="K826" s="90"/>
      <c r="L826" s="21">
        <v>2205943.27</v>
      </c>
      <c r="M826" s="19">
        <v>1696879.44</v>
      </c>
      <c r="N826" s="19">
        <f>J826-M826</f>
        <v>1018127.6600000001</v>
      </c>
      <c r="O826" s="19">
        <f t="shared" si="46"/>
        <v>509063.83000000007</v>
      </c>
      <c r="P826" s="77"/>
      <c r="Q826" s="2" t="s">
        <v>2987</v>
      </c>
      <c r="R826" s="61"/>
    </row>
    <row r="827" spans="1:18" s="44" customFormat="1" ht="29.25" customHeight="1" outlineLevel="2" x14ac:dyDescent="0.25">
      <c r="A827" s="3" t="s">
        <v>40</v>
      </c>
      <c r="B827" s="2" t="s">
        <v>1191</v>
      </c>
      <c r="C827" s="6" t="s">
        <v>42</v>
      </c>
      <c r="D827" s="2" t="s">
        <v>1196</v>
      </c>
      <c r="E827" s="3" t="s">
        <v>29</v>
      </c>
      <c r="F827" s="3" t="s">
        <v>596</v>
      </c>
      <c r="G827" s="2" t="s">
        <v>1192</v>
      </c>
      <c r="H827" s="3"/>
      <c r="I827" s="19">
        <v>55178664</v>
      </c>
      <c r="J827" s="19">
        <v>17886547.199999999</v>
      </c>
      <c r="K827" s="90">
        <v>32</v>
      </c>
      <c r="L827" s="21">
        <v>14532819.6</v>
      </c>
      <c r="M827" s="19">
        <v>11179092</v>
      </c>
      <c r="N827" s="19">
        <v>6707455.2000000002</v>
      </c>
      <c r="O827" s="19">
        <f t="shared" si="46"/>
        <v>3353727.5999999996</v>
      </c>
      <c r="P827" s="77"/>
      <c r="Q827" s="2" t="s">
        <v>2988</v>
      </c>
      <c r="R827" s="61"/>
    </row>
    <row r="828" spans="1:18" s="44" customFormat="1" ht="29.25" customHeight="1" outlineLevel="2" x14ac:dyDescent="0.25">
      <c r="A828" s="3" t="s">
        <v>40</v>
      </c>
      <c r="B828" s="2" t="s">
        <v>955</v>
      </c>
      <c r="C828" s="6" t="s">
        <v>42</v>
      </c>
      <c r="D828" s="2" t="s">
        <v>959</v>
      </c>
      <c r="E828" s="3" t="s">
        <v>29</v>
      </c>
      <c r="F828" s="3" t="s">
        <v>596</v>
      </c>
      <c r="G828" s="2" t="s">
        <v>956</v>
      </c>
      <c r="H828" s="3"/>
      <c r="I828" s="19">
        <v>2553508.7999999998</v>
      </c>
      <c r="J828" s="19">
        <v>801100.80000000005</v>
      </c>
      <c r="K828" s="90">
        <v>31</v>
      </c>
      <c r="L828" s="21">
        <v>650894.4</v>
      </c>
      <c r="M828" s="19">
        <v>500688</v>
      </c>
      <c r="N828" s="19">
        <v>300412.79999999999</v>
      </c>
      <c r="O828" s="19">
        <f t="shared" si="46"/>
        <v>150206.40000000002</v>
      </c>
      <c r="P828" s="77"/>
      <c r="Q828" s="6" t="s">
        <v>2032</v>
      </c>
      <c r="R828" s="61"/>
    </row>
    <row r="829" spans="1:18" s="44" customFormat="1" ht="29.25" customHeight="1" outlineLevel="2" x14ac:dyDescent="0.25">
      <c r="A829" s="3" t="s">
        <v>40</v>
      </c>
      <c r="B829" s="2" t="s">
        <v>1247</v>
      </c>
      <c r="C829" s="6" t="s">
        <v>42</v>
      </c>
      <c r="D829" s="2" t="s">
        <v>1251</v>
      </c>
      <c r="E829" s="3" t="s">
        <v>29</v>
      </c>
      <c r="F829" s="3" t="s">
        <v>1253</v>
      </c>
      <c r="G829" s="2" t="s">
        <v>1252</v>
      </c>
      <c r="H829" s="3"/>
      <c r="I829" s="19">
        <v>6190434</v>
      </c>
      <c r="J829" s="19">
        <v>2500008</v>
      </c>
      <c r="K829" s="90">
        <v>40</v>
      </c>
      <c r="L829" s="19">
        <v>2500008</v>
      </c>
      <c r="M829" s="19">
        <v>2500008</v>
      </c>
      <c r="N829" s="19"/>
      <c r="O829" s="19">
        <f t="shared" si="46"/>
        <v>0</v>
      </c>
      <c r="P829" s="77"/>
      <c r="Q829" s="6" t="s">
        <v>2033</v>
      </c>
      <c r="R829" s="61"/>
    </row>
    <row r="830" spans="1:18" s="44" customFormat="1" ht="29.25" customHeight="1" outlineLevel="2" x14ac:dyDescent="0.25">
      <c r="A830" s="3" t="s">
        <v>40</v>
      </c>
      <c r="B830" s="2" t="s">
        <v>1655</v>
      </c>
      <c r="C830" s="6" t="s">
        <v>42</v>
      </c>
      <c r="D830" s="2" t="s">
        <v>1660</v>
      </c>
      <c r="E830" s="3" t="s">
        <v>29</v>
      </c>
      <c r="F830" s="3" t="s">
        <v>596</v>
      </c>
      <c r="G830" s="2" t="s">
        <v>1659</v>
      </c>
      <c r="H830" s="3"/>
      <c r="I830" s="19">
        <v>5916187.2000000002</v>
      </c>
      <c r="J830" s="19">
        <v>1917879.94</v>
      </c>
      <c r="K830" s="90">
        <v>32</v>
      </c>
      <c r="L830" s="21">
        <v>1558277.45</v>
      </c>
      <c r="M830" s="19">
        <v>1198674.96</v>
      </c>
      <c r="N830" s="19">
        <v>719204.98</v>
      </c>
      <c r="O830" s="19">
        <f t="shared" si="46"/>
        <v>359602.49</v>
      </c>
      <c r="P830" s="77"/>
      <c r="Q830" s="6" t="s">
        <v>2032</v>
      </c>
      <c r="R830" s="61"/>
    </row>
    <row r="831" spans="1:18" s="44" customFormat="1" ht="60.75" customHeight="1" outlineLevel="2" x14ac:dyDescent="0.25">
      <c r="A831" s="3" t="s">
        <v>40</v>
      </c>
      <c r="B831" s="2" t="s">
        <v>269</v>
      </c>
      <c r="C831" s="6" t="s">
        <v>42</v>
      </c>
      <c r="D831" s="2" t="s">
        <v>272</v>
      </c>
      <c r="E831" s="3" t="s">
        <v>29</v>
      </c>
      <c r="F831" s="3" t="s">
        <v>273</v>
      </c>
      <c r="G831" s="2" t="s">
        <v>141</v>
      </c>
      <c r="H831" s="3"/>
      <c r="I831" s="19">
        <v>4200222.24</v>
      </c>
      <c r="J831" s="19">
        <v>2730144.46</v>
      </c>
      <c r="K831" s="90">
        <v>80</v>
      </c>
      <c r="L831" s="91">
        <v>2730144.46</v>
      </c>
      <c r="M831" s="19">
        <v>2730144.46</v>
      </c>
      <c r="N831" s="19">
        <v>0</v>
      </c>
      <c r="O831" s="19">
        <f t="shared" si="46"/>
        <v>0</v>
      </c>
      <c r="P831" s="77"/>
      <c r="Q831" s="8" t="s">
        <v>2378</v>
      </c>
      <c r="R831" s="61"/>
    </row>
    <row r="832" spans="1:18" s="44" customFormat="1" ht="43.5" customHeight="1" outlineLevel="2" x14ac:dyDescent="0.25">
      <c r="A832" s="3" t="s">
        <v>40</v>
      </c>
      <c r="B832" s="2" t="s">
        <v>2586</v>
      </c>
      <c r="C832" s="6" t="s">
        <v>42</v>
      </c>
      <c r="D832" s="2" t="s">
        <v>702</v>
      </c>
      <c r="E832" s="3" t="s">
        <v>29</v>
      </c>
      <c r="F832" s="3" t="s">
        <v>596</v>
      </c>
      <c r="G832" s="2" t="s">
        <v>701</v>
      </c>
      <c r="H832" s="3"/>
      <c r="I832" s="19">
        <v>4573788.0999999996</v>
      </c>
      <c r="J832" s="19">
        <v>1482801.45</v>
      </c>
      <c r="K832" s="90">
        <v>32</v>
      </c>
      <c r="L832" s="91">
        <v>1204776.18</v>
      </c>
      <c r="M832" s="19">
        <v>1482801.45</v>
      </c>
      <c r="N832" s="19"/>
      <c r="O832" s="19"/>
      <c r="P832" s="77"/>
      <c r="Q832" s="2" t="s">
        <v>2379</v>
      </c>
      <c r="R832" s="61"/>
    </row>
    <row r="833" spans="1:18" s="44" customFormat="1" ht="64.5" customHeight="1" outlineLevel="2" x14ac:dyDescent="0.25">
      <c r="A833" s="3" t="s">
        <v>40</v>
      </c>
      <c r="B833" s="2" t="s">
        <v>569</v>
      </c>
      <c r="C833" s="6" t="s">
        <v>42</v>
      </c>
      <c r="D833" s="2" t="s">
        <v>579</v>
      </c>
      <c r="E833" s="3" t="s">
        <v>29</v>
      </c>
      <c r="F833" s="3" t="s">
        <v>580</v>
      </c>
      <c r="G833" s="2" t="s">
        <v>571</v>
      </c>
      <c r="H833" s="3"/>
      <c r="I833" s="19">
        <v>43035782.780000001</v>
      </c>
      <c r="J833" s="19">
        <v>14321179.039999999</v>
      </c>
      <c r="K833" s="90">
        <v>33</v>
      </c>
      <c r="L833" s="21">
        <v>11635957.970000001</v>
      </c>
      <c r="M833" s="19">
        <v>8950736.9000000004</v>
      </c>
      <c r="N833" s="19">
        <v>5370442.1399999997</v>
      </c>
      <c r="O833" s="19">
        <f t="shared" si="46"/>
        <v>2685221.0700000003</v>
      </c>
      <c r="P833" s="77"/>
      <c r="Q833" s="2" t="s">
        <v>2380</v>
      </c>
      <c r="R833" s="61"/>
    </row>
    <row r="834" spans="1:18" s="44" customFormat="1" ht="58.5" customHeight="1" outlineLevel="2" x14ac:dyDescent="0.25">
      <c r="A834" s="3" t="s">
        <v>40</v>
      </c>
      <c r="B834" s="2" t="s">
        <v>751</v>
      </c>
      <c r="C834" s="6" t="s">
        <v>42</v>
      </c>
      <c r="D834" s="2" t="s">
        <v>758</v>
      </c>
      <c r="E834" s="3" t="s">
        <v>29</v>
      </c>
      <c r="F834" s="3" t="s">
        <v>596</v>
      </c>
      <c r="G834" s="2" t="s">
        <v>759</v>
      </c>
      <c r="H834" s="3"/>
      <c r="I834" s="19">
        <v>25759003.199999999</v>
      </c>
      <c r="J834" s="19">
        <v>8355129.5999999996</v>
      </c>
      <c r="K834" s="90">
        <v>32</v>
      </c>
      <c r="L834" s="21">
        <v>6788542.7999999998</v>
      </c>
      <c r="M834" s="19">
        <v>6788542.7999999998</v>
      </c>
      <c r="N834" s="19">
        <v>1566586.8</v>
      </c>
      <c r="O834" s="19">
        <f t="shared" si="46"/>
        <v>0</v>
      </c>
      <c r="P834" s="77"/>
      <c r="Q834" s="2" t="s">
        <v>2381</v>
      </c>
      <c r="R834" s="61"/>
    </row>
    <row r="835" spans="1:18" s="44" customFormat="1" ht="29.25" customHeight="1" outlineLevel="2" x14ac:dyDescent="0.25">
      <c r="A835" s="3" t="s">
        <v>40</v>
      </c>
      <c r="B835" s="2" t="s">
        <v>667</v>
      </c>
      <c r="C835" s="6" t="s">
        <v>42</v>
      </c>
      <c r="D835" s="2" t="s">
        <v>2382</v>
      </c>
      <c r="E835" s="3" t="s">
        <v>29</v>
      </c>
      <c r="F835" s="3" t="s">
        <v>403</v>
      </c>
      <c r="G835" s="2" t="s">
        <v>671</v>
      </c>
      <c r="H835" s="3"/>
      <c r="I835" s="19">
        <v>34956.959999999999</v>
      </c>
      <c r="J835" s="19">
        <v>34956.959999999999</v>
      </c>
      <c r="K835" s="90">
        <v>100</v>
      </c>
      <c r="L835" s="91">
        <v>34956.959999999999</v>
      </c>
      <c r="M835" s="19">
        <v>34956.959999999999</v>
      </c>
      <c r="N835" s="19"/>
      <c r="O835" s="19">
        <f t="shared" si="46"/>
        <v>0</v>
      </c>
      <c r="P835" s="77"/>
      <c r="Q835" s="6"/>
      <c r="R835" s="61"/>
    </row>
    <row r="836" spans="1:18" s="44" customFormat="1" ht="29.25" customHeight="1" outlineLevel="2" x14ac:dyDescent="0.25">
      <c r="A836" s="3" t="s">
        <v>40</v>
      </c>
      <c r="B836" s="2" t="s">
        <v>2587</v>
      </c>
      <c r="C836" s="6" t="s">
        <v>42</v>
      </c>
      <c r="D836" s="2" t="s">
        <v>1909</v>
      </c>
      <c r="E836" s="3" t="s">
        <v>29</v>
      </c>
      <c r="F836" s="3" t="s">
        <v>403</v>
      </c>
      <c r="G836" s="2" t="s">
        <v>117</v>
      </c>
      <c r="H836" s="3"/>
      <c r="I836" s="19">
        <v>2752418.6</v>
      </c>
      <c r="J836" s="19">
        <v>550483.72</v>
      </c>
      <c r="K836" s="90">
        <v>20</v>
      </c>
      <c r="L836" s="91">
        <f>I836*65%</f>
        <v>1789072.09</v>
      </c>
      <c r="M836" s="5">
        <v>2201934.88</v>
      </c>
      <c r="N836" s="19">
        <v>550483.72</v>
      </c>
      <c r="O836" s="19"/>
      <c r="P836" s="77"/>
      <c r="Q836" s="6"/>
      <c r="R836" s="61"/>
    </row>
    <row r="837" spans="1:18" s="44" customFormat="1" ht="38.25" customHeight="1" outlineLevel="2" x14ac:dyDescent="0.25">
      <c r="A837" s="3" t="s">
        <v>40</v>
      </c>
      <c r="B837" s="2" t="s">
        <v>322</v>
      </c>
      <c r="C837" s="6" t="s">
        <v>42</v>
      </c>
      <c r="D837" s="2" t="s">
        <v>328</v>
      </c>
      <c r="E837" s="3" t="s">
        <v>29</v>
      </c>
      <c r="F837" s="3" t="s">
        <v>403</v>
      </c>
      <c r="G837" s="2" t="s">
        <v>329</v>
      </c>
      <c r="H837" s="3"/>
      <c r="I837" s="19">
        <v>9454309.1999999993</v>
      </c>
      <c r="J837" s="19">
        <f>I837*0.8</f>
        <v>7563447.3599999994</v>
      </c>
      <c r="K837" s="90">
        <v>80</v>
      </c>
      <c r="L837" s="91">
        <f>I837*65%</f>
        <v>6145300.9799999995</v>
      </c>
      <c r="M837" s="19">
        <v>7563447.3600000003</v>
      </c>
      <c r="N837" s="19"/>
      <c r="O837" s="19"/>
      <c r="P837" s="77"/>
      <c r="Q837" s="6"/>
      <c r="R837" s="61"/>
    </row>
    <row r="838" spans="1:18" s="44" customFormat="1" ht="29.25" customHeight="1" outlineLevel="2" x14ac:dyDescent="0.25">
      <c r="A838" s="3" t="s">
        <v>40</v>
      </c>
      <c r="B838" s="2" t="s">
        <v>667</v>
      </c>
      <c r="C838" s="6" t="s">
        <v>42</v>
      </c>
      <c r="D838" s="2" t="s">
        <v>2383</v>
      </c>
      <c r="E838" s="3" t="s">
        <v>29</v>
      </c>
      <c r="F838" s="3" t="s">
        <v>596</v>
      </c>
      <c r="G838" s="2" t="s">
        <v>2384</v>
      </c>
      <c r="H838" s="3"/>
      <c r="I838" s="19">
        <v>7632000</v>
      </c>
      <c r="J838" s="19">
        <v>7632000</v>
      </c>
      <c r="K838" s="90">
        <v>100</v>
      </c>
      <c r="L838" s="91">
        <f>I838*65%</f>
        <v>4960800</v>
      </c>
      <c r="M838" s="19">
        <v>4960800</v>
      </c>
      <c r="N838" s="19">
        <f>J838-M838</f>
        <v>2671200</v>
      </c>
      <c r="O838" s="19">
        <f t="shared" si="46"/>
        <v>0</v>
      </c>
      <c r="P838" s="77"/>
      <c r="Q838" s="6"/>
      <c r="R838" s="61"/>
    </row>
    <row r="839" spans="1:18" s="44" customFormat="1" ht="29.25" customHeight="1" outlineLevel="2" x14ac:dyDescent="0.25">
      <c r="A839" s="3" t="s">
        <v>40</v>
      </c>
      <c r="B839" s="2" t="s">
        <v>2581</v>
      </c>
      <c r="C839" s="6" t="s">
        <v>42</v>
      </c>
      <c r="D839" s="2" t="s">
        <v>1921</v>
      </c>
      <c r="E839" s="3" t="s">
        <v>29</v>
      </c>
      <c r="F839" s="3" t="s">
        <v>81</v>
      </c>
      <c r="G839" s="2" t="s">
        <v>1919</v>
      </c>
      <c r="H839" s="3"/>
      <c r="I839" s="19">
        <v>2440326.7200000002</v>
      </c>
      <c r="J839" s="19">
        <f>I839*0.8</f>
        <v>1952261.3760000002</v>
      </c>
      <c r="K839" s="90">
        <v>80</v>
      </c>
      <c r="L839" s="91">
        <v>1586212.37</v>
      </c>
      <c r="M839" s="19">
        <v>1586212.37</v>
      </c>
      <c r="N839" s="19">
        <v>366049.01</v>
      </c>
      <c r="O839" s="19">
        <f t="shared" si="46"/>
        <v>0</v>
      </c>
      <c r="P839" s="77"/>
      <c r="Q839" s="6"/>
      <c r="R839" s="61"/>
    </row>
    <row r="840" spans="1:18" s="44" customFormat="1" ht="29.25" customHeight="1" outlineLevel="2" x14ac:dyDescent="0.25">
      <c r="A840" s="3" t="s">
        <v>40</v>
      </c>
      <c r="B840" s="2" t="s">
        <v>2588</v>
      </c>
      <c r="C840" s="6" t="s">
        <v>42</v>
      </c>
      <c r="D840" s="2" t="s">
        <v>2385</v>
      </c>
      <c r="E840" s="3" t="s">
        <v>29</v>
      </c>
      <c r="F840" s="3" t="s">
        <v>81</v>
      </c>
      <c r="G840" s="2" t="s">
        <v>1884</v>
      </c>
      <c r="H840" s="3"/>
      <c r="I840" s="19">
        <v>97999.94</v>
      </c>
      <c r="J840" s="19">
        <v>78399.95</v>
      </c>
      <c r="K840" s="90">
        <v>80</v>
      </c>
      <c r="L840" s="91">
        <v>78399.95</v>
      </c>
      <c r="M840" s="19">
        <v>78399.95</v>
      </c>
      <c r="N840" s="19"/>
      <c r="O840" s="19">
        <f t="shared" si="46"/>
        <v>0</v>
      </c>
      <c r="P840" s="77"/>
      <c r="Q840" s="6"/>
      <c r="R840" s="61"/>
    </row>
    <row r="841" spans="1:18" s="44" customFormat="1" ht="29.25" customHeight="1" outlineLevel="2" x14ac:dyDescent="0.25">
      <c r="A841" s="3" t="s">
        <v>40</v>
      </c>
      <c r="B841" s="2" t="s">
        <v>1718</v>
      </c>
      <c r="C841" s="6" t="s">
        <v>42</v>
      </c>
      <c r="D841" s="2" t="s">
        <v>1725</v>
      </c>
      <c r="E841" s="3" t="s">
        <v>29</v>
      </c>
      <c r="F841" s="3" t="s">
        <v>596</v>
      </c>
      <c r="G841" s="2" t="s">
        <v>827</v>
      </c>
      <c r="H841" s="3"/>
      <c r="I841" s="19">
        <v>3305855</v>
      </c>
      <c r="J841" s="19">
        <v>1071675.46</v>
      </c>
      <c r="K841" s="90">
        <v>32</v>
      </c>
      <c r="L841" s="21">
        <v>870736.31</v>
      </c>
      <c r="M841" s="19">
        <v>1071675.46</v>
      </c>
      <c r="N841" s="19">
        <f>J841-M841</f>
        <v>0</v>
      </c>
      <c r="O841" s="19"/>
      <c r="P841" s="77"/>
      <c r="Q841" s="8" t="s">
        <v>2386</v>
      </c>
      <c r="R841" s="61"/>
    </row>
    <row r="842" spans="1:18" ht="29.25" customHeight="1" outlineLevel="2" x14ac:dyDescent="0.2">
      <c r="A842" s="3" t="s">
        <v>40</v>
      </c>
      <c r="B842" s="2" t="s">
        <v>2589</v>
      </c>
      <c r="C842" s="6" t="s">
        <v>42</v>
      </c>
      <c r="D842" s="2" t="s">
        <v>787</v>
      </c>
      <c r="E842" s="3" t="s">
        <v>1949</v>
      </c>
      <c r="F842" s="3" t="s">
        <v>596</v>
      </c>
      <c r="G842" s="2" t="s">
        <v>2387</v>
      </c>
      <c r="H842" s="3"/>
      <c r="I842" s="19">
        <v>57725520.950000003</v>
      </c>
      <c r="J842" s="19">
        <v>37521588.619999997</v>
      </c>
      <c r="K842" s="90"/>
      <c r="L842" s="91">
        <v>37521588.619999997</v>
      </c>
      <c r="M842" s="19">
        <v>37521588.619999997</v>
      </c>
      <c r="N842" s="19">
        <f>J842-M842</f>
        <v>0</v>
      </c>
      <c r="O842" s="19">
        <f t="shared" si="46"/>
        <v>0</v>
      </c>
      <c r="P842" s="77"/>
      <c r="Q842" s="8" t="s">
        <v>2590</v>
      </c>
    </row>
    <row r="843" spans="1:18" s="44" customFormat="1" ht="29.25" customHeight="1" outlineLevel="2" x14ac:dyDescent="0.25">
      <c r="A843" s="3" t="s">
        <v>40</v>
      </c>
      <c r="B843" s="2" t="s">
        <v>2589</v>
      </c>
      <c r="C843" s="6">
        <v>429</v>
      </c>
      <c r="D843" s="2" t="s">
        <v>2388</v>
      </c>
      <c r="E843" s="3" t="s">
        <v>1949</v>
      </c>
      <c r="F843" s="3"/>
      <c r="G843" s="2" t="s">
        <v>2389</v>
      </c>
      <c r="H843" s="3"/>
      <c r="I843" s="19">
        <v>4065213.84</v>
      </c>
      <c r="J843" s="19">
        <f>I843*0.8</f>
        <v>3252171.0720000002</v>
      </c>
      <c r="K843" s="90"/>
      <c r="L843" s="91">
        <f>I843*65%</f>
        <v>2642388.9959999998</v>
      </c>
      <c r="M843" s="19">
        <v>0</v>
      </c>
      <c r="N843" s="19">
        <f>J843-M843</f>
        <v>3252171.0720000002</v>
      </c>
      <c r="O843" s="19">
        <f t="shared" si="46"/>
        <v>2642388.9959999998</v>
      </c>
      <c r="P843" s="77" t="s">
        <v>1991</v>
      </c>
      <c r="Q843" s="8" t="s">
        <v>2989</v>
      </c>
      <c r="R843" s="61"/>
    </row>
    <row r="844" spans="1:18" s="44" customFormat="1" ht="29.25" customHeight="1" outlineLevel="2" x14ac:dyDescent="0.25">
      <c r="A844" s="3" t="s">
        <v>40</v>
      </c>
      <c r="B844" s="2" t="s">
        <v>1831</v>
      </c>
      <c r="C844" s="6" t="s">
        <v>42</v>
      </c>
      <c r="D844" s="2" t="s">
        <v>1838</v>
      </c>
      <c r="E844" s="3" t="s">
        <v>29</v>
      </c>
      <c r="F844" s="3" t="s">
        <v>1840</v>
      </c>
      <c r="G844" s="2" t="s">
        <v>1839</v>
      </c>
      <c r="H844" s="3" t="s">
        <v>219</v>
      </c>
      <c r="I844" s="19">
        <v>326633586.13999999</v>
      </c>
      <c r="J844" s="19">
        <v>105946053.12</v>
      </c>
      <c r="K844" s="90">
        <v>32</v>
      </c>
      <c r="L844" s="21">
        <v>86081168.159999996</v>
      </c>
      <c r="M844" s="19">
        <v>66216283.200000003</v>
      </c>
      <c r="N844" s="19">
        <v>39729769.920000002</v>
      </c>
      <c r="O844" s="19">
        <f t="shared" si="46"/>
        <v>19864884.959999993</v>
      </c>
      <c r="P844" s="101" t="s">
        <v>2390</v>
      </c>
      <c r="Q844" s="3" t="s">
        <v>2103</v>
      </c>
      <c r="R844" s="61"/>
    </row>
    <row r="845" spans="1:18" s="44" customFormat="1" ht="30" outlineLevel="2" x14ac:dyDescent="0.25">
      <c r="A845" s="3" t="s">
        <v>40</v>
      </c>
      <c r="B845" s="2" t="s">
        <v>793</v>
      </c>
      <c r="C845" s="6" t="s">
        <v>42</v>
      </c>
      <c r="D845" s="2" t="s">
        <v>798</v>
      </c>
      <c r="E845" s="3" t="s">
        <v>29</v>
      </c>
      <c r="F845" s="3" t="s">
        <v>580</v>
      </c>
      <c r="G845" s="2" t="s">
        <v>229</v>
      </c>
      <c r="H845" s="3" t="s">
        <v>219</v>
      </c>
      <c r="I845" s="19">
        <v>60269116</v>
      </c>
      <c r="J845" s="19">
        <v>19548739.780000001</v>
      </c>
      <c r="K845" s="90">
        <v>32</v>
      </c>
      <c r="L845" s="21">
        <v>15883351.07</v>
      </c>
      <c r="M845" s="19">
        <v>19548739.780000001</v>
      </c>
      <c r="N845" s="19"/>
      <c r="O845" s="19"/>
      <c r="P845" s="90"/>
      <c r="Q845" s="8" t="s">
        <v>2111</v>
      </c>
      <c r="R845" s="61"/>
    </row>
    <row r="846" spans="1:18" s="44" customFormat="1" ht="30" outlineLevel="2" x14ac:dyDescent="0.25">
      <c r="A846" s="3" t="s">
        <v>40</v>
      </c>
      <c r="B846" s="2" t="s">
        <v>865</v>
      </c>
      <c r="C846" s="6" t="s">
        <v>42</v>
      </c>
      <c r="D846" s="2" t="s">
        <v>869</v>
      </c>
      <c r="E846" s="3" t="s">
        <v>29</v>
      </c>
      <c r="F846" s="3" t="s">
        <v>870</v>
      </c>
      <c r="G846" s="2" t="s">
        <v>203</v>
      </c>
      <c r="H846" s="3" t="s">
        <v>219</v>
      </c>
      <c r="I846" s="19">
        <v>1182720000</v>
      </c>
      <c r="J846" s="19">
        <v>946176000</v>
      </c>
      <c r="K846" s="90">
        <v>80</v>
      </c>
      <c r="L846" s="91">
        <f>I846*65%</f>
        <v>768768000</v>
      </c>
      <c r="M846" s="19">
        <v>591360000</v>
      </c>
      <c r="N846" s="19">
        <v>354816000</v>
      </c>
      <c r="O846" s="19">
        <f t="shared" si="46"/>
        <v>177408000</v>
      </c>
      <c r="P846" s="90"/>
      <c r="Q846" s="8" t="s">
        <v>2375</v>
      </c>
      <c r="R846" s="61"/>
    </row>
    <row r="847" spans="1:18" s="44" customFormat="1" ht="45" outlineLevel="2" x14ac:dyDescent="0.25">
      <c r="A847" s="3" t="s">
        <v>40</v>
      </c>
      <c r="B847" s="2" t="s">
        <v>2591</v>
      </c>
      <c r="C847" s="6" t="s">
        <v>42</v>
      </c>
      <c r="D847" s="2" t="s">
        <v>912</v>
      </c>
      <c r="E847" s="3" t="s">
        <v>29</v>
      </c>
      <c r="F847" s="3" t="s">
        <v>596</v>
      </c>
      <c r="G847" s="2" t="s">
        <v>910</v>
      </c>
      <c r="H847" s="3" t="s">
        <v>219</v>
      </c>
      <c r="I847" s="19">
        <v>255030153.59999999</v>
      </c>
      <c r="J847" s="19">
        <v>82718250.239999995</v>
      </c>
      <c r="K847" s="90">
        <v>32</v>
      </c>
      <c r="L847" s="21">
        <v>67208578.319999993</v>
      </c>
      <c r="M847" s="19">
        <v>82712755.200000003</v>
      </c>
      <c r="N847" s="19">
        <v>5495.04</v>
      </c>
      <c r="O847" s="19"/>
      <c r="P847" s="90"/>
      <c r="Q847" s="8" t="s">
        <v>1979</v>
      </c>
      <c r="R847" s="61"/>
    </row>
    <row r="848" spans="1:18" s="44" customFormat="1" ht="45" outlineLevel="2" x14ac:dyDescent="0.25">
      <c r="A848" s="3" t="s">
        <v>40</v>
      </c>
      <c r="B848" s="2" t="s">
        <v>2591</v>
      </c>
      <c r="C848" s="6" t="s">
        <v>42</v>
      </c>
      <c r="D848" s="2" t="s">
        <v>913</v>
      </c>
      <c r="E848" s="3" t="s">
        <v>29</v>
      </c>
      <c r="F848" s="3" t="s">
        <v>81</v>
      </c>
      <c r="G848" s="2" t="s">
        <v>117</v>
      </c>
      <c r="H848" s="3" t="s">
        <v>219</v>
      </c>
      <c r="I848" s="19">
        <v>840715.2</v>
      </c>
      <c r="J848" s="19">
        <v>272716.79999999999</v>
      </c>
      <c r="K848" s="90">
        <v>32</v>
      </c>
      <c r="L848" s="21">
        <v>221582.4</v>
      </c>
      <c r="M848" s="19">
        <v>272716.79999999999</v>
      </c>
      <c r="N848" s="19"/>
      <c r="O848" s="19"/>
      <c r="P848" s="90"/>
      <c r="Q848" s="8" t="s">
        <v>1979</v>
      </c>
      <c r="R848" s="61"/>
    </row>
    <row r="849" spans="1:18" s="44" customFormat="1" ht="30" outlineLevel="2" x14ac:dyDescent="0.25">
      <c r="A849" s="3" t="s">
        <v>40</v>
      </c>
      <c r="B849" s="2" t="s">
        <v>924</v>
      </c>
      <c r="C849" s="6" t="s">
        <v>42</v>
      </c>
      <c r="D849" s="2" t="s">
        <v>927</v>
      </c>
      <c r="E849" s="3" t="s">
        <v>29</v>
      </c>
      <c r="F849" s="3" t="s">
        <v>124</v>
      </c>
      <c r="G849" s="2" t="s">
        <v>928</v>
      </c>
      <c r="H849" s="3" t="s">
        <v>189</v>
      </c>
      <c r="I849" s="19">
        <v>214606.98</v>
      </c>
      <c r="J849" s="19">
        <v>214606.98</v>
      </c>
      <c r="K849" s="90">
        <v>100</v>
      </c>
      <c r="L849" s="91">
        <v>148005.8645</v>
      </c>
      <c r="M849" s="19">
        <v>214606.98</v>
      </c>
      <c r="N849" s="19"/>
      <c r="O849" s="19"/>
      <c r="P849" s="90"/>
      <c r="Q849" s="8" t="s">
        <v>2391</v>
      </c>
      <c r="R849" s="61"/>
    </row>
    <row r="850" spans="1:18" s="44" customFormat="1" ht="45" outlineLevel="2" x14ac:dyDescent="0.25">
      <c r="A850" s="3" t="s">
        <v>40</v>
      </c>
      <c r="B850" s="2" t="s">
        <v>936</v>
      </c>
      <c r="C850" s="6" t="s">
        <v>42</v>
      </c>
      <c r="D850" s="2" t="s">
        <v>940</v>
      </c>
      <c r="E850" s="3" t="s">
        <v>29</v>
      </c>
      <c r="F850" s="3" t="s">
        <v>941</v>
      </c>
      <c r="G850" s="2" t="s">
        <v>937</v>
      </c>
      <c r="H850" s="3" t="s">
        <v>189</v>
      </c>
      <c r="I850" s="19">
        <v>2117826</v>
      </c>
      <c r="J850" s="19">
        <v>1694260.8</v>
      </c>
      <c r="K850" s="90">
        <v>80</v>
      </c>
      <c r="L850" s="91">
        <v>1694260.8</v>
      </c>
      <c r="M850" s="19">
        <v>1694260.8</v>
      </c>
      <c r="N850" s="19"/>
      <c r="O850" s="19">
        <f t="shared" si="46"/>
        <v>0</v>
      </c>
      <c r="P850" s="90"/>
      <c r="Q850" s="8"/>
      <c r="R850" s="61"/>
    </row>
    <row r="851" spans="1:18" s="44" customFormat="1" ht="45" outlineLevel="2" x14ac:dyDescent="0.25">
      <c r="A851" s="3" t="s">
        <v>40</v>
      </c>
      <c r="B851" s="2" t="s">
        <v>1030</v>
      </c>
      <c r="C851" s="6" t="s">
        <v>42</v>
      </c>
      <c r="D851" s="2" t="s">
        <v>1037</v>
      </c>
      <c r="E851" s="3" t="s">
        <v>29</v>
      </c>
      <c r="F851" s="3" t="s">
        <v>1038</v>
      </c>
      <c r="G851" s="2" t="s">
        <v>1035</v>
      </c>
      <c r="H851" s="3" t="s">
        <v>219</v>
      </c>
      <c r="I851" s="19">
        <v>153723505.5</v>
      </c>
      <c r="J851" s="5">
        <v>50455441.729999997</v>
      </c>
      <c r="K851" s="90"/>
      <c r="L851" s="21">
        <v>40995046.399999999</v>
      </c>
      <c r="M851" s="5">
        <v>50331287.729999997</v>
      </c>
      <c r="N851" s="19">
        <v>124153.99</v>
      </c>
      <c r="O851" s="19"/>
      <c r="P851" s="102">
        <v>45536</v>
      </c>
      <c r="Q851" s="2" t="s">
        <v>2990</v>
      </c>
      <c r="R851" s="61"/>
    </row>
    <row r="852" spans="1:18" s="44" customFormat="1" ht="45" outlineLevel="2" x14ac:dyDescent="0.25">
      <c r="A852" s="3" t="s">
        <v>40</v>
      </c>
      <c r="B852" s="2" t="s">
        <v>2753</v>
      </c>
      <c r="C852" s="6" t="s">
        <v>42</v>
      </c>
      <c r="D852" s="2" t="s">
        <v>1066</v>
      </c>
      <c r="E852" s="3" t="s">
        <v>29</v>
      </c>
      <c r="F852" s="3" t="s">
        <v>273</v>
      </c>
      <c r="G852" s="2" t="s">
        <v>1062</v>
      </c>
      <c r="H852" s="12" t="s">
        <v>219</v>
      </c>
      <c r="I852" s="19">
        <v>137280</v>
      </c>
      <c r="J852" s="19">
        <v>109824</v>
      </c>
      <c r="K852" s="90">
        <v>80</v>
      </c>
      <c r="L852" s="91">
        <f>I852*65%</f>
        <v>89232</v>
      </c>
      <c r="M852" s="19">
        <f>54912+54912</f>
        <v>109824</v>
      </c>
      <c r="N852" s="19">
        <v>54912</v>
      </c>
      <c r="O852" s="19"/>
      <c r="P852" s="90"/>
      <c r="Q852" s="8" t="s">
        <v>2790</v>
      </c>
      <c r="R852" s="61"/>
    </row>
    <row r="853" spans="1:18" s="44" customFormat="1" ht="45" outlineLevel="2" x14ac:dyDescent="0.25">
      <c r="A853" s="3" t="s">
        <v>40</v>
      </c>
      <c r="B853" s="2" t="s">
        <v>1068</v>
      </c>
      <c r="C853" s="6" t="s">
        <v>42</v>
      </c>
      <c r="D853" s="2" t="s">
        <v>1075</v>
      </c>
      <c r="E853" s="3" t="s">
        <v>29</v>
      </c>
      <c r="F853" s="3" t="s">
        <v>596</v>
      </c>
      <c r="G853" s="2" t="s">
        <v>1076</v>
      </c>
      <c r="H853" s="3" t="s">
        <v>219</v>
      </c>
      <c r="I853" s="19">
        <v>299691772.70999998</v>
      </c>
      <c r="J853" s="19">
        <v>97152574.719999999</v>
      </c>
      <c r="K853" s="90">
        <v>32</v>
      </c>
      <c r="L853" s="21">
        <v>78936466.959999993</v>
      </c>
      <c r="M853" s="19">
        <v>49557485.439999998</v>
      </c>
      <c r="N853" s="19">
        <v>47595089.280000001</v>
      </c>
      <c r="O853" s="19">
        <f t="shared" si="46"/>
        <v>29378981.519999996</v>
      </c>
      <c r="P853" s="90"/>
      <c r="Q853" s="2" t="s">
        <v>2991</v>
      </c>
      <c r="R853" s="61"/>
    </row>
    <row r="854" spans="1:18" s="44" customFormat="1" ht="45" outlineLevel="2" x14ac:dyDescent="0.25">
      <c r="A854" s="3" t="s">
        <v>40</v>
      </c>
      <c r="B854" s="2" t="s">
        <v>1068</v>
      </c>
      <c r="C854" s="6" t="s">
        <v>42</v>
      </c>
      <c r="D854" s="2" t="s">
        <v>1077</v>
      </c>
      <c r="E854" s="3" t="s">
        <v>29</v>
      </c>
      <c r="F854" s="3" t="s">
        <v>1078</v>
      </c>
      <c r="G854" s="2" t="s">
        <v>1070</v>
      </c>
      <c r="H854" s="3" t="s">
        <v>219</v>
      </c>
      <c r="I854" s="19">
        <v>10012021.58</v>
      </c>
      <c r="J854" s="19">
        <v>2637088.09</v>
      </c>
      <c r="K854" s="90">
        <v>26</v>
      </c>
      <c r="L854" s="19">
        <v>2637088.09</v>
      </c>
      <c r="M854" s="19"/>
      <c r="N854" s="19">
        <v>2637088.09</v>
      </c>
      <c r="O854" s="19">
        <f t="shared" si="46"/>
        <v>2637088.09</v>
      </c>
      <c r="P854" s="90"/>
      <c r="Q854" s="2" t="s">
        <v>2992</v>
      </c>
      <c r="R854" s="61"/>
    </row>
    <row r="855" spans="1:18" s="44" customFormat="1" ht="30" outlineLevel="2" x14ac:dyDescent="0.25">
      <c r="A855" s="3" t="s">
        <v>40</v>
      </c>
      <c r="B855" s="2" t="s">
        <v>1141</v>
      </c>
      <c r="C855" s="6" t="s">
        <v>42</v>
      </c>
      <c r="D855" s="2" t="s">
        <v>1144</v>
      </c>
      <c r="E855" s="3" t="s">
        <v>29</v>
      </c>
      <c r="F855" s="3" t="s">
        <v>596</v>
      </c>
      <c r="G855" s="2" t="s">
        <v>1145</v>
      </c>
      <c r="H855" s="3" t="s">
        <v>219</v>
      </c>
      <c r="I855" s="19">
        <v>21048720.059999999</v>
      </c>
      <c r="J855" s="19">
        <v>6823475.71</v>
      </c>
      <c r="K855" s="90">
        <v>32</v>
      </c>
      <c r="L855" s="21">
        <v>5544074.0199999996</v>
      </c>
      <c r="M855" s="19">
        <v>3411737.86</v>
      </c>
      <c r="N855" s="19">
        <v>3411737.85</v>
      </c>
      <c r="O855" s="19">
        <f t="shared" si="46"/>
        <v>2132336.1599999997</v>
      </c>
      <c r="P855" s="90"/>
      <c r="Q855" s="8" t="s">
        <v>2392</v>
      </c>
      <c r="R855" s="61"/>
    </row>
    <row r="856" spans="1:18" s="44" customFormat="1" ht="30" outlineLevel="2" x14ac:dyDescent="0.25">
      <c r="A856" s="3" t="s">
        <v>40</v>
      </c>
      <c r="B856" s="2" t="s">
        <v>1209</v>
      </c>
      <c r="C856" s="6" t="s">
        <v>42</v>
      </c>
      <c r="D856" s="2" t="s">
        <v>1212</v>
      </c>
      <c r="E856" s="3" t="s">
        <v>29</v>
      </c>
      <c r="F856" s="3" t="s">
        <v>188</v>
      </c>
      <c r="G856" s="2" t="s">
        <v>117</v>
      </c>
      <c r="H856" s="3" t="s">
        <v>189</v>
      </c>
      <c r="I856" s="19">
        <v>355642.37</v>
      </c>
      <c r="J856" s="19">
        <v>355642.37</v>
      </c>
      <c r="K856" s="90">
        <v>100</v>
      </c>
      <c r="L856" s="19">
        <v>355642.37</v>
      </c>
      <c r="M856" s="19">
        <v>355642.37</v>
      </c>
      <c r="N856" s="19"/>
      <c r="O856" s="19">
        <f t="shared" si="46"/>
        <v>0</v>
      </c>
      <c r="P856" s="90"/>
      <c r="Q856" s="8" t="s">
        <v>2393</v>
      </c>
      <c r="R856" s="61"/>
    </row>
    <row r="857" spans="1:18" s="44" customFormat="1" ht="30" outlineLevel="2" x14ac:dyDescent="0.25">
      <c r="A857" s="3" t="s">
        <v>40</v>
      </c>
      <c r="B857" s="2" t="s">
        <v>1232</v>
      </c>
      <c r="C857" s="6" t="s">
        <v>42</v>
      </c>
      <c r="D857" s="2" t="s">
        <v>1234</v>
      </c>
      <c r="E857" s="3" t="s">
        <v>29</v>
      </c>
      <c r="F857" s="3" t="s">
        <v>81</v>
      </c>
      <c r="G857" s="2" t="s">
        <v>1235</v>
      </c>
      <c r="H857" s="3" t="s">
        <v>219</v>
      </c>
      <c r="I857" s="19">
        <v>7380221.2300000004</v>
      </c>
      <c r="J857" s="19">
        <v>2502755.14</v>
      </c>
      <c r="K857" s="90">
        <v>34</v>
      </c>
      <c r="L857" s="91">
        <v>2894204.1</v>
      </c>
      <c r="M857" s="19">
        <v>2502755.14</v>
      </c>
      <c r="N857" s="19"/>
      <c r="O857" s="19">
        <f t="shared" si="46"/>
        <v>391448.95999999996</v>
      </c>
      <c r="P857" s="90"/>
      <c r="Q857" s="8" t="s">
        <v>2394</v>
      </c>
      <c r="R857" s="61"/>
    </row>
    <row r="858" spans="1:18" s="44" customFormat="1" ht="30" outlineLevel="2" x14ac:dyDescent="0.25">
      <c r="A858" s="3" t="s">
        <v>40</v>
      </c>
      <c r="B858" s="2" t="s">
        <v>1255</v>
      </c>
      <c r="C858" s="6" t="s">
        <v>42</v>
      </c>
      <c r="D858" s="2" t="s">
        <v>1258</v>
      </c>
      <c r="E858" s="3" t="s">
        <v>29</v>
      </c>
      <c r="F858" s="3" t="s">
        <v>596</v>
      </c>
      <c r="G858" s="2" t="s">
        <v>1259</v>
      </c>
      <c r="H858" s="3" t="s">
        <v>219</v>
      </c>
      <c r="I858" s="19">
        <v>17527400.059999999</v>
      </c>
      <c r="J858" s="19">
        <v>5681944.3200000003</v>
      </c>
      <c r="K858" s="90">
        <v>32</v>
      </c>
      <c r="L858" s="91">
        <f>I858*65%</f>
        <v>11392810.038999999</v>
      </c>
      <c r="M858" s="5">
        <v>8763700.0299999993</v>
      </c>
      <c r="N858" s="19">
        <v>5681944.3200000003</v>
      </c>
      <c r="O858" s="19">
        <f t="shared" si="46"/>
        <v>2629110.0089999996</v>
      </c>
      <c r="P858" s="90"/>
      <c r="Q858" s="8" t="s">
        <v>2775</v>
      </c>
      <c r="R858" s="61"/>
    </row>
    <row r="859" spans="1:18" s="44" customFormat="1" ht="30" outlineLevel="2" x14ac:dyDescent="0.25">
      <c r="A859" s="3" t="s">
        <v>40</v>
      </c>
      <c r="B859" s="2" t="s">
        <v>1262</v>
      </c>
      <c r="C859" s="6" t="s">
        <v>42</v>
      </c>
      <c r="D859" s="2" t="s">
        <v>1268</v>
      </c>
      <c r="E859" s="3" t="s">
        <v>29</v>
      </c>
      <c r="F859" s="3" t="s">
        <v>596</v>
      </c>
      <c r="G859" s="2" t="s">
        <v>117</v>
      </c>
      <c r="H859" s="3" t="s">
        <v>219</v>
      </c>
      <c r="I859" s="19">
        <v>4405131.5999999996</v>
      </c>
      <c r="J859" s="19">
        <v>1466707.2</v>
      </c>
      <c r="K859" s="90">
        <v>33</v>
      </c>
      <c r="L859" s="19">
        <v>1191699.6000000001</v>
      </c>
      <c r="M859" s="19">
        <v>1191699.6000000001</v>
      </c>
      <c r="N859" s="19">
        <v>275007.59999999998</v>
      </c>
      <c r="O859" s="19">
        <f t="shared" si="46"/>
        <v>0</v>
      </c>
      <c r="P859" s="90"/>
      <c r="Q859" s="8" t="s">
        <v>2395</v>
      </c>
      <c r="R859" s="61"/>
    </row>
    <row r="860" spans="1:18" s="44" customFormat="1" ht="30" outlineLevel="2" x14ac:dyDescent="0.25">
      <c r="A860" s="3" t="s">
        <v>40</v>
      </c>
      <c r="B860" s="2" t="s">
        <v>1288</v>
      </c>
      <c r="C860" s="6" t="s">
        <v>42</v>
      </c>
      <c r="D860" s="2" t="s">
        <v>1290</v>
      </c>
      <c r="E860" s="3" t="s">
        <v>29</v>
      </c>
      <c r="F860" s="3" t="s">
        <v>1291</v>
      </c>
      <c r="G860" s="2" t="s">
        <v>1289</v>
      </c>
      <c r="H860" s="3" t="s">
        <v>189</v>
      </c>
      <c r="I860" s="19">
        <v>26888570.780000001</v>
      </c>
      <c r="J860" s="19">
        <v>21510856.620000001</v>
      </c>
      <c r="K860" s="90">
        <v>80</v>
      </c>
      <c r="L860" s="19">
        <v>17477571.007000003</v>
      </c>
      <c r="M860" s="19">
        <v>21510856.620000001</v>
      </c>
      <c r="N860" s="19"/>
      <c r="O860" s="19"/>
      <c r="P860" s="90"/>
      <c r="Q860" s="8" t="s">
        <v>2394</v>
      </c>
      <c r="R860" s="61"/>
    </row>
    <row r="861" spans="1:18" s="44" customFormat="1" ht="45" outlineLevel="2" x14ac:dyDescent="0.25">
      <c r="A861" s="3" t="s">
        <v>40</v>
      </c>
      <c r="B861" s="2" t="s">
        <v>1669</v>
      </c>
      <c r="C861" s="6" t="s">
        <v>42</v>
      </c>
      <c r="D861" s="2" t="s">
        <v>1673</v>
      </c>
      <c r="E861" s="3" t="s">
        <v>29</v>
      </c>
      <c r="F861" s="3" t="s">
        <v>81</v>
      </c>
      <c r="G861" s="2" t="s">
        <v>1674</v>
      </c>
      <c r="H861" s="3" t="s">
        <v>219</v>
      </c>
      <c r="I861" s="19">
        <v>36874540.899999999</v>
      </c>
      <c r="J861" s="19">
        <v>11960532.67</v>
      </c>
      <c r="K861" s="90">
        <v>32</v>
      </c>
      <c r="L861" s="91">
        <v>9717932.8000000007</v>
      </c>
      <c r="M861" s="19">
        <v>5980266.3399999999</v>
      </c>
      <c r="N861" s="19">
        <v>5980266.3300000001</v>
      </c>
      <c r="O861" s="19">
        <f t="shared" si="46"/>
        <v>3737666.4600000009</v>
      </c>
      <c r="P861" s="90"/>
      <c r="Q861" s="8" t="s">
        <v>1980</v>
      </c>
      <c r="R861" s="61"/>
    </row>
    <row r="862" spans="1:18" s="44" customFormat="1" ht="30" outlineLevel="2" x14ac:dyDescent="0.25">
      <c r="A862" s="3" t="s">
        <v>40</v>
      </c>
      <c r="B862" s="2" t="s">
        <v>1685</v>
      </c>
      <c r="C862" s="6" t="s">
        <v>42</v>
      </c>
      <c r="D862" s="2" t="s">
        <v>1692</v>
      </c>
      <c r="E862" s="3" t="s">
        <v>29</v>
      </c>
      <c r="F862" s="3" t="s">
        <v>1693</v>
      </c>
      <c r="G862" s="2" t="s">
        <v>1686</v>
      </c>
      <c r="H862" s="3" t="s">
        <v>219</v>
      </c>
      <c r="I862" s="19">
        <v>1009559.63</v>
      </c>
      <c r="J862" s="19">
        <v>245455.49</v>
      </c>
      <c r="K862" s="90">
        <v>24</v>
      </c>
      <c r="L862" s="21">
        <v>245455.49</v>
      </c>
      <c r="M862" s="19"/>
      <c r="N862" s="19">
        <v>245455.49</v>
      </c>
      <c r="O862" s="19">
        <f t="shared" si="46"/>
        <v>245455.49</v>
      </c>
      <c r="P862" s="90"/>
      <c r="Q862" s="8" t="s">
        <v>2397</v>
      </c>
      <c r="R862" s="61"/>
    </row>
    <row r="863" spans="1:18" s="44" customFormat="1" ht="30" outlineLevel="2" x14ac:dyDescent="0.25">
      <c r="A863" s="3" t="s">
        <v>40</v>
      </c>
      <c r="B863" s="2" t="s">
        <v>1708</v>
      </c>
      <c r="C863" s="6" t="s">
        <v>42</v>
      </c>
      <c r="D863" s="2" t="s">
        <v>1716</v>
      </c>
      <c r="E863" s="3" t="s">
        <v>29</v>
      </c>
      <c r="F863" s="3" t="s">
        <v>596</v>
      </c>
      <c r="G863" s="2" t="s">
        <v>909</v>
      </c>
      <c r="H863" s="3" t="s">
        <v>219</v>
      </c>
      <c r="I863" s="19">
        <v>394278.72</v>
      </c>
      <c r="J863" s="19">
        <v>127887.36</v>
      </c>
      <c r="K863" s="90">
        <v>32</v>
      </c>
      <c r="L863" s="21">
        <v>103908.48</v>
      </c>
      <c r="M863" s="5">
        <v>187535.62</v>
      </c>
      <c r="N863" s="19">
        <v>127887.36</v>
      </c>
      <c r="O863" s="19"/>
      <c r="P863" s="90"/>
      <c r="Q863" s="8" t="s">
        <v>2776</v>
      </c>
      <c r="R863" s="61"/>
    </row>
    <row r="864" spans="1:18" s="44" customFormat="1" ht="30" outlineLevel="2" x14ac:dyDescent="0.25">
      <c r="A864" s="3" t="s">
        <v>40</v>
      </c>
      <c r="B864" s="2" t="s">
        <v>1734</v>
      </c>
      <c r="C864" s="6" t="s">
        <v>42</v>
      </c>
      <c r="D864" s="2" t="s">
        <v>1741</v>
      </c>
      <c r="E864" s="3" t="s">
        <v>29</v>
      </c>
      <c r="F864" s="3" t="s">
        <v>369</v>
      </c>
      <c r="G864" s="2" t="s">
        <v>1740</v>
      </c>
      <c r="H864" s="3" t="s">
        <v>189</v>
      </c>
      <c r="I864" s="19">
        <v>120871976.54000001</v>
      </c>
      <c r="J864" s="19">
        <v>96697581.230000004</v>
      </c>
      <c r="K864" s="90">
        <v>80</v>
      </c>
      <c r="L864" s="19">
        <v>96697581.230000004</v>
      </c>
      <c r="M864" s="19">
        <v>96697581.230000004</v>
      </c>
      <c r="N864" s="19"/>
      <c r="O864" s="19">
        <f t="shared" si="46"/>
        <v>0</v>
      </c>
      <c r="P864" s="90"/>
      <c r="Q864" s="8" t="s">
        <v>1979</v>
      </c>
      <c r="R864" s="61"/>
    </row>
    <row r="865" spans="1:18" s="44" customFormat="1" ht="30" outlineLevel="2" x14ac:dyDescent="0.25">
      <c r="A865" s="3" t="s">
        <v>40</v>
      </c>
      <c r="B865" s="2" t="s">
        <v>1777</v>
      </c>
      <c r="C865" s="6" t="s">
        <v>42</v>
      </c>
      <c r="D865" s="2" t="s">
        <v>1780</v>
      </c>
      <c r="E865" s="3" t="s">
        <v>29</v>
      </c>
      <c r="F865" s="3" t="s">
        <v>870</v>
      </c>
      <c r="G865" s="2" t="s">
        <v>1778</v>
      </c>
      <c r="H865" s="3" t="s">
        <v>219</v>
      </c>
      <c r="I865" s="19">
        <v>8736000</v>
      </c>
      <c r="J865" s="19">
        <v>6988800</v>
      </c>
      <c r="K865" s="90">
        <v>80</v>
      </c>
      <c r="L865" s="91">
        <f>I865*65%</f>
        <v>5678400</v>
      </c>
      <c r="M865" s="19">
        <v>4368000</v>
      </c>
      <c r="N865" s="19">
        <v>2620800</v>
      </c>
      <c r="O865" s="19">
        <f t="shared" si="46"/>
        <v>1310400</v>
      </c>
      <c r="P865" s="90"/>
      <c r="Q865" s="8" t="s">
        <v>2398</v>
      </c>
      <c r="R865" s="61"/>
    </row>
    <row r="866" spans="1:18" s="44" customFormat="1" ht="45" outlineLevel="2" x14ac:dyDescent="0.25">
      <c r="A866" s="3" t="s">
        <v>40</v>
      </c>
      <c r="B866" s="2" t="s">
        <v>2578</v>
      </c>
      <c r="C866" s="6" t="s">
        <v>42</v>
      </c>
      <c r="D866" s="2" t="s">
        <v>1879</v>
      </c>
      <c r="E866" s="3" t="s">
        <v>29</v>
      </c>
      <c r="F866" s="3" t="s">
        <v>188</v>
      </c>
      <c r="G866" s="2" t="s">
        <v>117</v>
      </c>
      <c r="H866" s="3" t="s">
        <v>189</v>
      </c>
      <c r="I866" s="19">
        <v>3293661.6</v>
      </c>
      <c r="J866" s="19">
        <v>3293661.6</v>
      </c>
      <c r="K866" s="90">
        <v>100</v>
      </c>
      <c r="L866" s="19">
        <v>3293661.6</v>
      </c>
      <c r="M866" s="19">
        <v>3293661.6</v>
      </c>
      <c r="N866" s="19"/>
      <c r="O866" s="19">
        <f t="shared" si="46"/>
        <v>0</v>
      </c>
      <c r="P866" s="90"/>
      <c r="Q866" s="8" t="s">
        <v>2399</v>
      </c>
      <c r="R866" s="61"/>
    </row>
    <row r="867" spans="1:18" s="44" customFormat="1" ht="30" outlineLevel="2" x14ac:dyDescent="0.25">
      <c r="A867" s="3" t="s">
        <v>40</v>
      </c>
      <c r="B867" s="2" t="s">
        <v>1936</v>
      </c>
      <c r="C867" s="6" t="s">
        <v>42</v>
      </c>
      <c r="D867" s="2" t="s">
        <v>1938</v>
      </c>
      <c r="E867" s="3" t="s">
        <v>29</v>
      </c>
      <c r="F867" s="3" t="s">
        <v>1291</v>
      </c>
      <c r="G867" s="2" t="s">
        <v>1937</v>
      </c>
      <c r="H867" s="3" t="s">
        <v>189</v>
      </c>
      <c r="I867" s="19">
        <v>2246284.7999999998</v>
      </c>
      <c r="J867" s="19">
        <v>1797027.8400000001</v>
      </c>
      <c r="K867" s="90">
        <v>80</v>
      </c>
      <c r="L867" s="19">
        <v>1797027.8400000001</v>
      </c>
      <c r="M867" s="19">
        <v>1797027.8400000001</v>
      </c>
      <c r="N867" s="19"/>
      <c r="O867" s="19">
        <f t="shared" si="46"/>
        <v>0</v>
      </c>
      <c r="P867" s="90"/>
      <c r="Q867" s="8" t="s">
        <v>2400</v>
      </c>
      <c r="R867" s="61"/>
    </row>
    <row r="868" spans="1:18" s="44" customFormat="1" ht="24.75" customHeight="1" outlineLevel="2" x14ac:dyDescent="0.25">
      <c r="A868" s="3" t="s">
        <v>40</v>
      </c>
      <c r="B868" s="2" t="s">
        <v>489</v>
      </c>
      <c r="C868" s="6" t="s">
        <v>42</v>
      </c>
      <c r="D868" s="2" t="s">
        <v>502</v>
      </c>
      <c r="E868" s="3" t="s">
        <v>29</v>
      </c>
      <c r="F868" s="3" t="s">
        <v>503</v>
      </c>
      <c r="G868" s="2" t="s">
        <v>490</v>
      </c>
      <c r="H868" s="3" t="s">
        <v>219</v>
      </c>
      <c r="I868" s="19">
        <v>39077.760000000002</v>
      </c>
      <c r="J868" s="19">
        <v>39077.760000000002</v>
      </c>
      <c r="K868" s="90">
        <v>100</v>
      </c>
      <c r="L868" s="19">
        <v>39077.760000000002</v>
      </c>
      <c r="M868" s="19">
        <v>39077.760000000002</v>
      </c>
      <c r="N868" s="19"/>
      <c r="O868" s="19">
        <f t="shared" si="46"/>
        <v>0</v>
      </c>
      <c r="P868" s="90"/>
      <c r="Q868" s="6" t="s">
        <v>2033</v>
      </c>
      <c r="R868" s="61"/>
    </row>
    <row r="869" spans="1:18" s="44" customFormat="1" ht="30" outlineLevel="2" x14ac:dyDescent="0.25">
      <c r="A869" s="3" t="s">
        <v>40</v>
      </c>
      <c r="B869" s="2" t="s">
        <v>601</v>
      </c>
      <c r="C869" s="6" t="s">
        <v>42</v>
      </c>
      <c r="D869" s="2" t="s">
        <v>607</v>
      </c>
      <c r="E869" s="3" t="s">
        <v>29</v>
      </c>
      <c r="F869" s="3" t="s">
        <v>596</v>
      </c>
      <c r="G869" s="2" t="s">
        <v>608</v>
      </c>
      <c r="H869" s="3" t="s">
        <v>219</v>
      </c>
      <c r="I869" s="19">
        <v>6970884</v>
      </c>
      <c r="J869" s="19">
        <v>2262336</v>
      </c>
      <c r="K869" s="90">
        <v>32</v>
      </c>
      <c r="L869" s="91">
        <f>I869*65%</f>
        <v>4531074.6000000006</v>
      </c>
      <c r="M869" s="19">
        <v>1413960</v>
      </c>
      <c r="N869" s="19">
        <v>848376</v>
      </c>
      <c r="O869" s="19">
        <f t="shared" si="46"/>
        <v>3117114.6000000006</v>
      </c>
      <c r="P869" s="90"/>
      <c r="Q869" s="8" t="s">
        <v>2063</v>
      </c>
      <c r="R869" s="61"/>
    </row>
    <row r="870" spans="1:18" ht="30" outlineLevel="2" x14ac:dyDescent="0.2">
      <c r="A870" s="3" t="s">
        <v>40</v>
      </c>
      <c r="B870" s="2" t="s">
        <v>610</v>
      </c>
      <c r="C870" s="6" t="s">
        <v>42</v>
      </c>
      <c r="D870" s="2" t="s">
        <v>618</v>
      </c>
      <c r="E870" s="3" t="s">
        <v>29</v>
      </c>
      <c r="F870" s="3" t="s">
        <v>619</v>
      </c>
      <c r="G870" s="2" t="s">
        <v>117</v>
      </c>
      <c r="H870" s="3" t="s">
        <v>219</v>
      </c>
      <c r="I870" s="19">
        <v>25350000</v>
      </c>
      <c r="J870" s="19">
        <v>16477500</v>
      </c>
      <c r="K870" s="90">
        <v>65</v>
      </c>
      <c r="L870" s="91">
        <f>I870*65%</f>
        <v>16477500</v>
      </c>
      <c r="M870" s="19"/>
      <c r="N870" s="19">
        <v>16477500</v>
      </c>
      <c r="O870" s="19">
        <f t="shared" si="46"/>
        <v>16477500</v>
      </c>
      <c r="P870" s="90"/>
      <c r="Q870" s="6"/>
    </row>
    <row r="871" spans="1:18" s="44" customFormat="1" ht="45" outlineLevel="2" x14ac:dyDescent="0.25">
      <c r="A871" s="3" t="s">
        <v>40</v>
      </c>
      <c r="B871" s="2" t="s">
        <v>649</v>
      </c>
      <c r="C871" s="6" t="s">
        <v>42</v>
      </c>
      <c r="D871" s="2" t="s">
        <v>653</v>
      </c>
      <c r="E871" s="3" t="s">
        <v>29</v>
      </c>
      <c r="F871" s="3" t="s">
        <v>287</v>
      </c>
      <c r="G871" s="2" t="s">
        <v>654</v>
      </c>
      <c r="H871" s="3" t="s">
        <v>219</v>
      </c>
      <c r="I871" s="19">
        <v>209096.4</v>
      </c>
      <c r="J871" s="19">
        <v>84216</v>
      </c>
      <c r="K871" s="90">
        <v>20</v>
      </c>
      <c r="L871" s="19">
        <v>54740.4</v>
      </c>
      <c r="M871" s="19">
        <v>84216</v>
      </c>
      <c r="N871" s="19">
        <v>0</v>
      </c>
      <c r="O871" s="19"/>
      <c r="P871" s="90"/>
      <c r="Q871" s="6" t="s">
        <v>2781</v>
      </c>
      <c r="R871" s="61"/>
    </row>
    <row r="872" spans="1:18" s="44" customFormat="1" ht="30" outlineLevel="2" x14ac:dyDescent="0.25">
      <c r="A872" s="3" t="s">
        <v>40</v>
      </c>
      <c r="B872" s="2" t="s">
        <v>726</v>
      </c>
      <c r="C872" s="6" t="s">
        <v>42</v>
      </c>
      <c r="D872" s="2" t="s">
        <v>729</v>
      </c>
      <c r="E872" s="3" t="s">
        <v>29</v>
      </c>
      <c r="F872" s="3" t="s">
        <v>596</v>
      </c>
      <c r="G872" s="2" t="s">
        <v>727</v>
      </c>
      <c r="H872" s="3" t="s">
        <v>219</v>
      </c>
      <c r="I872" s="19">
        <v>5860938.6200000001</v>
      </c>
      <c r="J872" s="19">
        <v>1901038.85</v>
      </c>
      <c r="K872" s="90">
        <v>32</v>
      </c>
      <c r="L872" s="21">
        <v>1544594.06</v>
      </c>
      <c r="M872" s="19">
        <v>1188149.28</v>
      </c>
      <c r="N872" s="19">
        <v>712889.57</v>
      </c>
      <c r="O872" s="19">
        <f t="shared" si="46"/>
        <v>356444.78</v>
      </c>
      <c r="P872" s="90"/>
      <c r="Q872" s="2" t="s">
        <v>2993</v>
      </c>
      <c r="R872" s="61"/>
    </row>
    <row r="873" spans="1:18" s="44" customFormat="1" outlineLevel="1" x14ac:dyDescent="0.25">
      <c r="A873" s="155"/>
      <c r="B873" s="156"/>
      <c r="C873" s="162" t="s">
        <v>1948</v>
      </c>
      <c r="D873" s="68"/>
      <c r="E873" s="155"/>
      <c r="F873" s="10"/>
      <c r="G873" s="156"/>
      <c r="H873" s="10"/>
      <c r="I873" s="28">
        <f>SUBTOTAL(9,I815:I872)</f>
        <v>4601132648.2399998</v>
      </c>
      <c r="J873" s="28">
        <f t="shared" ref="J873:Q873" si="47">SUBTOTAL(9,J815:J872)</f>
        <v>2281924342.9630003</v>
      </c>
      <c r="K873" s="28">
        <f t="shared" si="47"/>
        <v>2808</v>
      </c>
      <c r="L873" s="160">
        <f t="shared" si="47"/>
        <v>1876417675.9609997</v>
      </c>
      <c r="M873" s="160">
        <f t="shared" si="47"/>
        <v>1439487684.0999992</v>
      </c>
      <c r="N873" s="28">
        <f t="shared" si="47"/>
        <v>853644741.38700032</v>
      </c>
      <c r="O873" s="160">
        <f t="shared" si="47"/>
        <v>472216128.23949987</v>
      </c>
      <c r="P873" s="160">
        <f t="shared" si="47"/>
        <v>136630</v>
      </c>
      <c r="Q873" s="160">
        <f t="shared" si="47"/>
        <v>0</v>
      </c>
      <c r="R873" s="61"/>
    </row>
    <row r="874" spans="1:18" s="44" customFormat="1" x14ac:dyDescent="0.25">
      <c r="A874" s="171" t="s">
        <v>40</v>
      </c>
      <c r="B874" s="174"/>
      <c r="C874" s="181" t="s">
        <v>1943</v>
      </c>
      <c r="D874" s="68"/>
      <c r="E874" s="176"/>
      <c r="F874" s="10"/>
      <c r="G874" s="174"/>
      <c r="H874" s="10"/>
      <c r="I874" s="28">
        <f>I794+I799+I814+I873</f>
        <v>4753174444.9565907</v>
      </c>
      <c r="J874" s="28">
        <f>J794+J799+J814+J873</f>
        <v>2400932246.9899597</v>
      </c>
      <c r="K874" s="28"/>
      <c r="L874" s="180">
        <f t="shared" ref="L874:Q874" si="48">L794+L799+L814+L873</f>
        <v>1961493814.9256363</v>
      </c>
      <c r="M874" s="180">
        <f t="shared" si="48"/>
        <v>1465771004.2399993</v>
      </c>
      <c r="N874" s="28">
        <f t="shared" si="48"/>
        <v>920104004.60595965</v>
      </c>
      <c r="O874" s="180">
        <f t="shared" si="48"/>
        <v>531008947.06413639</v>
      </c>
      <c r="P874" s="153">
        <f t="shared" si="48"/>
        <v>136630</v>
      </c>
      <c r="Q874" s="153">
        <f t="shared" si="48"/>
        <v>0</v>
      </c>
      <c r="R874" s="61"/>
    </row>
    <row r="875" spans="1:18" s="44" customFormat="1" ht="30" outlineLevel="1" x14ac:dyDescent="0.25">
      <c r="A875" s="105" t="s">
        <v>30</v>
      </c>
      <c r="B875" s="2" t="s">
        <v>673</v>
      </c>
      <c r="C875" s="6" t="s">
        <v>39</v>
      </c>
      <c r="D875" s="2" t="s">
        <v>675</v>
      </c>
      <c r="E875" s="3" t="s">
        <v>29</v>
      </c>
      <c r="F875" s="2" t="s">
        <v>27</v>
      </c>
      <c r="G875" s="2" t="s">
        <v>674</v>
      </c>
      <c r="H875" s="3" t="s">
        <v>215</v>
      </c>
      <c r="I875" s="5">
        <v>501030</v>
      </c>
      <c r="J875" s="5">
        <v>501030</v>
      </c>
      <c r="K875" s="3">
        <v>100</v>
      </c>
      <c r="L875" s="5">
        <v>501030</v>
      </c>
      <c r="M875" s="5">
        <v>501030</v>
      </c>
      <c r="N875" s="5"/>
      <c r="O875" s="5">
        <f>L875-M875</f>
        <v>0</v>
      </c>
      <c r="P875" s="3"/>
      <c r="Q875" s="8" t="s">
        <v>2416</v>
      </c>
      <c r="R875" s="61"/>
    </row>
    <row r="876" spans="1:18" s="44" customFormat="1" ht="49.5" customHeight="1" outlineLevel="1" x14ac:dyDescent="0.25">
      <c r="A876" s="3" t="s">
        <v>30</v>
      </c>
      <c r="B876" s="2" t="s">
        <v>1016</v>
      </c>
      <c r="C876" s="6" t="s">
        <v>39</v>
      </c>
      <c r="D876" s="2" t="s">
        <v>1017</v>
      </c>
      <c r="E876" s="3" t="s">
        <v>29</v>
      </c>
      <c r="F876" s="2" t="s">
        <v>27</v>
      </c>
      <c r="G876" s="2" t="s">
        <v>251</v>
      </c>
      <c r="H876" s="12" t="s">
        <v>215</v>
      </c>
      <c r="I876" s="5">
        <v>3255684.63</v>
      </c>
      <c r="J876" s="5">
        <v>1627842.32</v>
      </c>
      <c r="K876" s="3">
        <v>50</v>
      </c>
      <c r="L876" s="5">
        <v>1479629.19</v>
      </c>
      <c r="M876" s="5">
        <v>1479629.19</v>
      </c>
      <c r="N876" s="5">
        <v>148213.13</v>
      </c>
      <c r="O876" s="5">
        <f>L876-M876</f>
        <v>0</v>
      </c>
      <c r="P876" s="3"/>
      <c r="Q876" s="8" t="s">
        <v>2646</v>
      </c>
      <c r="R876" s="61"/>
    </row>
    <row r="877" spans="1:18" s="44" customFormat="1" ht="30" outlineLevel="1" x14ac:dyDescent="0.25">
      <c r="A877" s="10" t="s">
        <v>30</v>
      </c>
      <c r="B877" s="2" t="s">
        <v>1285</v>
      </c>
      <c r="C877" s="6" t="s">
        <v>39</v>
      </c>
      <c r="D877" s="2" t="s">
        <v>1286</v>
      </c>
      <c r="E877" s="3" t="s">
        <v>29</v>
      </c>
      <c r="F877" s="2" t="s">
        <v>27</v>
      </c>
      <c r="G877" s="2" t="s">
        <v>251</v>
      </c>
      <c r="H877" s="3" t="s">
        <v>215</v>
      </c>
      <c r="I877" s="5">
        <v>9489325</v>
      </c>
      <c r="J877" s="5">
        <v>7591460</v>
      </c>
      <c r="K877" s="3">
        <v>80</v>
      </c>
      <c r="L877" s="5">
        <v>7591460</v>
      </c>
      <c r="M877" s="5">
        <v>7591460</v>
      </c>
      <c r="N877" s="5"/>
      <c r="O877" s="5">
        <f>L877-M877</f>
        <v>0</v>
      </c>
      <c r="P877" s="3"/>
      <c r="Q877" s="8" t="s">
        <v>2499</v>
      </c>
      <c r="R877" s="61"/>
    </row>
    <row r="878" spans="1:18" s="44" customFormat="1" outlineLevel="1" x14ac:dyDescent="0.25">
      <c r="A878" s="10" t="s">
        <v>30</v>
      </c>
      <c r="B878" s="2" t="s">
        <v>1951</v>
      </c>
      <c r="C878" s="6">
        <v>426</v>
      </c>
      <c r="D878" s="2"/>
      <c r="E878" s="3" t="s">
        <v>1949</v>
      </c>
      <c r="F878" s="2" t="s">
        <v>27</v>
      </c>
      <c r="G878" s="2" t="s">
        <v>1952</v>
      </c>
      <c r="H878" s="3" t="s">
        <v>215</v>
      </c>
      <c r="I878" s="5">
        <v>1294394.98</v>
      </c>
      <c r="J878" s="5">
        <v>1294394.98</v>
      </c>
      <c r="K878" s="3">
        <v>100</v>
      </c>
      <c r="L878" s="9">
        <f>I878*40%</f>
        <v>517757.99200000003</v>
      </c>
      <c r="M878" s="5">
        <v>0</v>
      </c>
      <c r="N878" s="5">
        <v>1294394.98</v>
      </c>
      <c r="O878" s="5">
        <f>L878-M878</f>
        <v>517757.99200000003</v>
      </c>
      <c r="P878" s="1">
        <v>45627</v>
      </c>
      <c r="Q878" s="8" t="s">
        <v>2412</v>
      </c>
      <c r="R878" s="61"/>
    </row>
    <row r="879" spans="1:18" s="44" customFormat="1" x14ac:dyDescent="0.25">
      <c r="A879" s="155"/>
      <c r="B879" s="156"/>
      <c r="C879" s="163" t="s">
        <v>1946</v>
      </c>
      <c r="D879" s="68"/>
      <c r="E879" s="155"/>
      <c r="F879" s="68"/>
      <c r="G879" s="156"/>
      <c r="H879" s="10"/>
      <c r="I879" s="106">
        <f t="shared" ref="I879:O879" si="49">SUBTOTAL(9,I875:I878)</f>
        <v>14540434.609999999</v>
      </c>
      <c r="J879" s="106">
        <f t="shared" si="49"/>
        <v>11014727.300000001</v>
      </c>
      <c r="K879" s="106">
        <f t="shared" si="49"/>
        <v>330</v>
      </c>
      <c r="L879" s="164">
        <f t="shared" si="49"/>
        <v>10089877.182</v>
      </c>
      <c r="M879" s="164">
        <f t="shared" si="49"/>
        <v>9572119.1899999995</v>
      </c>
      <c r="N879" s="106">
        <f t="shared" si="49"/>
        <v>1442608.1099999999</v>
      </c>
      <c r="O879" s="164">
        <f t="shared" si="49"/>
        <v>517757.99200000003</v>
      </c>
      <c r="P879" s="10"/>
      <c r="Q879" s="104"/>
      <c r="R879" s="61"/>
    </row>
    <row r="880" spans="1:18" s="44" customFormat="1" ht="60" outlineLevel="1" x14ac:dyDescent="0.25">
      <c r="A880" s="10" t="s">
        <v>30</v>
      </c>
      <c r="B880" s="68" t="s">
        <v>2047</v>
      </c>
      <c r="C880" s="104">
        <v>427</v>
      </c>
      <c r="D880" s="68" t="s">
        <v>2048</v>
      </c>
      <c r="E880" s="10" t="s">
        <v>2049</v>
      </c>
      <c r="F880" s="68" t="s">
        <v>17</v>
      </c>
      <c r="G880" s="68" t="s">
        <v>2050</v>
      </c>
      <c r="H880" s="10"/>
      <c r="I880" s="107">
        <v>7525</v>
      </c>
      <c r="J880" s="107">
        <v>7525</v>
      </c>
      <c r="K880" s="92">
        <v>100</v>
      </c>
      <c r="L880" s="107">
        <v>7525</v>
      </c>
      <c r="M880" s="107">
        <v>7525</v>
      </c>
      <c r="N880" s="107">
        <v>0</v>
      </c>
      <c r="O880" s="5">
        <f>L880-M880</f>
        <v>0</v>
      </c>
      <c r="P880" s="10"/>
      <c r="Q880" s="8" t="s">
        <v>2051</v>
      </c>
      <c r="R880" s="61"/>
    </row>
    <row r="881" spans="1:18" s="44" customFormat="1" ht="45" outlineLevel="1" x14ac:dyDescent="0.25">
      <c r="A881" s="10" t="s">
        <v>30</v>
      </c>
      <c r="B881" s="68" t="s">
        <v>1953</v>
      </c>
      <c r="C881" s="104">
        <v>427</v>
      </c>
      <c r="D881" s="68"/>
      <c r="E881" s="10" t="s">
        <v>1949</v>
      </c>
      <c r="F881" s="68" t="s">
        <v>27</v>
      </c>
      <c r="G881" s="68" t="s">
        <v>1955</v>
      </c>
      <c r="H881" s="10" t="s">
        <v>215</v>
      </c>
      <c r="I881" s="107">
        <v>16158311.89632</v>
      </c>
      <c r="J881" s="107">
        <v>16158311.89632</v>
      </c>
      <c r="K881" s="92">
        <v>100</v>
      </c>
      <c r="L881" s="9">
        <v>6463324.7585280007</v>
      </c>
      <c r="M881" s="107">
        <v>0</v>
      </c>
      <c r="N881" s="107">
        <v>16158311.89632</v>
      </c>
      <c r="O881" s="5">
        <f>L881-M881</f>
        <v>6463324.7585280007</v>
      </c>
      <c r="P881" s="10"/>
      <c r="Q881" s="8" t="s">
        <v>2731</v>
      </c>
      <c r="R881" s="61"/>
    </row>
    <row r="882" spans="1:18" s="44" customFormat="1" ht="60" outlineLevel="1" x14ac:dyDescent="0.25">
      <c r="A882" s="10" t="s">
        <v>30</v>
      </c>
      <c r="B882" s="68" t="s">
        <v>2693</v>
      </c>
      <c r="C882" s="104" t="s">
        <v>14</v>
      </c>
      <c r="D882" s="68" t="s">
        <v>2714</v>
      </c>
      <c r="E882" s="10" t="s">
        <v>1949</v>
      </c>
      <c r="F882" s="68" t="s">
        <v>1585</v>
      </c>
      <c r="G882" s="2" t="s">
        <v>2714</v>
      </c>
      <c r="H882" s="10"/>
      <c r="I882" s="107">
        <v>10000000</v>
      </c>
      <c r="J882" s="107">
        <v>8000000</v>
      </c>
      <c r="K882" s="92"/>
      <c r="L882" s="107">
        <v>8000000</v>
      </c>
      <c r="M882" s="107"/>
      <c r="N882" s="107">
        <f>J882-M882</f>
        <v>8000000</v>
      </c>
      <c r="O882" s="107">
        <f>L882-M882</f>
        <v>8000000</v>
      </c>
      <c r="P882" s="10"/>
      <c r="Q882" s="108" t="s">
        <v>2742</v>
      </c>
      <c r="R882" s="61"/>
    </row>
    <row r="883" spans="1:18" s="44" customFormat="1" outlineLevel="1" x14ac:dyDescent="0.25">
      <c r="A883" s="10" t="s">
        <v>30</v>
      </c>
      <c r="B883" s="68" t="s">
        <v>1954</v>
      </c>
      <c r="C883" s="104">
        <v>427</v>
      </c>
      <c r="D883" s="68"/>
      <c r="E883" s="10" t="s">
        <v>1949</v>
      </c>
      <c r="F883" s="68" t="s">
        <v>27</v>
      </c>
      <c r="G883" s="68" t="s">
        <v>1955</v>
      </c>
      <c r="H883" s="10" t="s">
        <v>215</v>
      </c>
      <c r="I883" s="107">
        <v>549030.11328000005</v>
      </c>
      <c r="J883" s="107">
        <v>549030.11328000005</v>
      </c>
      <c r="K883" s="92">
        <v>100</v>
      </c>
      <c r="L883" s="9">
        <v>219612.04531200003</v>
      </c>
      <c r="M883" s="107">
        <v>0</v>
      </c>
      <c r="N883" s="107">
        <v>549030.11328000005</v>
      </c>
      <c r="O883" s="5">
        <f>L883-M883</f>
        <v>219612.04531200003</v>
      </c>
      <c r="P883" s="10"/>
      <c r="Q883" s="8" t="s">
        <v>1974</v>
      </c>
      <c r="R883" s="61"/>
    </row>
    <row r="884" spans="1:18" s="44" customFormat="1" ht="60" outlineLevel="1" x14ac:dyDescent="0.25">
      <c r="A884" s="10" t="s">
        <v>30</v>
      </c>
      <c r="B884" s="68" t="s">
        <v>1315</v>
      </c>
      <c r="C884" s="104">
        <v>427</v>
      </c>
      <c r="D884" s="68"/>
      <c r="E884" s="10" t="s">
        <v>1949</v>
      </c>
      <c r="F884" s="68"/>
      <c r="G884" s="68" t="s">
        <v>2699</v>
      </c>
      <c r="H884" s="10"/>
      <c r="I884" s="107">
        <v>145000</v>
      </c>
      <c r="J884" s="107">
        <v>145000</v>
      </c>
      <c r="K884" s="92"/>
      <c r="L884" s="9">
        <v>58000</v>
      </c>
      <c r="M884" s="107"/>
      <c r="N884" s="107">
        <v>145000</v>
      </c>
      <c r="O884" s="5">
        <f>L884-M884</f>
        <v>58000</v>
      </c>
      <c r="P884" s="10"/>
      <c r="Q884" s="8" t="s">
        <v>1972</v>
      </c>
      <c r="R884" s="61"/>
    </row>
    <row r="885" spans="1:18" s="44" customFormat="1" ht="15.75" customHeight="1" x14ac:dyDescent="0.25">
      <c r="A885" s="155"/>
      <c r="B885" s="156"/>
      <c r="C885" s="163" t="s">
        <v>1947</v>
      </c>
      <c r="D885" s="68"/>
      <c r="E885" s="155"/>
      <c r="F885" s="68"/>
      <c r="G885" s="156"/>
      <c r="H885" s="10"/>
      <c r="I885" s="106">
        <f t="shared" ref="I885:O885" si="50">SUBTOTAL(9,I880:I884)</f>
        <v>26859867.009599999</v>
      </c>
      <c r="J885" s="106">
        <f t="shared" si="50"/>
        <v>24859867.009599999</v>
      </c>
      <c r="K885" s="109">
        <f t="shared" si="50"/>
        <v>300</v>
      </c>
      <c r="L885" s="165">
        <f t="shared" si="50"/>
        <v>14748461.803840002</v>
      </c>
      <c r="M885" s="164">
        <f t="shared" si="50"/>
        <v>7525</v>
      </c>
      <c r="N885" s="106">
        <f t="shared" si="50"/>
        <v>24852342.009599999</v>
      </c>
      <c r="O885" s="164">
        <f t="shared" si="50"/>
        <v>14740936.803840002</v>
      </c>
      <c r="P885" s="10"/>
      <c r="Q885" s="104"/>
      <c r="R885" s="61"/>
    </row>
    <row r="886" spans="1:18" s="44" customFormat="1" ht="50.25" customHeight="1" outlineLevel="1" x14ac:dyDescent="0.25">
      <c r="A886" s="3" t="s">
        <v>30</v>
      </c>
      <c r="B886" s="2" t="s">
        <v>2178</v>
      </c>
      <c r="C886" s="6" t="s">
        <v>42</v>
      </c>
      <c r="D886" s="2" t="s">
        <v>2179</v>
      </c>
      <c r="E886" s="3" t="s">
        <v>29</v>
      </c>
      <c r="F886" s="2"/>
      <c r="G886" s="2" t="s">
        <v>2180</v>
      </c>
      <c r="H886" s="3"/>
      <c r="I886" s="5">
        <v>21154.205000000002</v>
      </c>
      <c r="J886" s="5">
        <v>10577.102500000001</v>
      </c>
      <c r="K886" s="3"/>
      <c r="L886" s="9">
        <f>I886*40%</f>
        <v>8461.6820000000007</v>
      </c>
      <c r="M886" s="5"/>
      <c r="N886" s="5">
        <f t="shared" ref="N886:N891" si="51">J886-M886</f>
        <v>10577.102500000001</v>
      </c>
      <c r="O886" s="5">
        <f t="shared" ref="O886:O949" si="52">L886-M886</f>
        <v>8461.6820000000007</v>
      </c>
      <c r="P886" s="3"/>
      <c r="Q886" s="8" t="s">
        <v>2181</v>
      </c>
      <c r="R886" s="61"/>
    </row>
    <row r="887" spans="1:18" ht="45" outlineLevel="1" x14ac:dyDescent="0.2">
      <c r="A887" s="3" t="s">
        <v>30</v>
      </c>
      <c r="B887" s="2" t="s">
        <v>2182</v>
      </c>
      <c r="C887" s="6" t="s">
        <v>42</v>
      </c>
      <c r="D887" s="110" t="s">
        <v>2053</v>
      </c>
      <c r="E887" s="3" t="s">
        <v>29</v>
      </c>
      <c r="F887" s="2" t="s">
        <v>230</v>
      </c>
      <c r="G887" s="2" t="s">
        <v>2052</v>
      </c>
      <c r="H887" s="3" t="s">
        <v>215</v>
      </c>
      <c r="I887" s="57">
        <v>139812338.68000001</v>
      </c>
      <c r="J887" s="57">
        <v>111849870.94400001</v>
      </c>
      <c r="K887" s="12"/>
      <c r="L887" s="9">
        <f>I887*40%</f>
        <v>55924935.472000003</v>
      </c>
      <c r="M887" s="57"/>
      <c r="N887" s="57">
        <f t="shared" si="51"/>
        <v>111849870.94400001</v>
      </c>
      <c r="O887" s="5">
        <f t="shared" si="52"/>
        <v>55924935.472000003</v>
      </c>
      <c r="P887" s="12" t="s">
        <v>2044</v>
      </c>
      <c r="Q887" s="6" t="s">
        <v>2994</v>
      </c>
    </row>
    <row r="888" spans="1:18" s="44" customFormat="1" ht="45" outlineLevel="1" x14ac:dyDescent="0.25">
      <c r="A888" s="3" t="s">
        <v>30</v>
      </c>
      <c r="B888" s="2" t="s">
        <v>2183</v>
      </c>
      <c r="C888" s="6" t="s">
        <v>42</v>
      </c>
      <c r="D888" s="2" t="s">
        <v>2184</v>
      </c>
      <c r="E888" s="3" t="s">
        <v>29</v>
      </c>
      <c r="F888" s="2" t="s">
        <v>494</v>
      </c>
      <c r="G888" s="2" t="s">
        <v>2185</v>
      </c>
      <c r="H888" s="3" t="s">
        <v>215</v>
      </c>
      <c r="I888" s="5">
        <v>56484.840000000004</v>
      </c>
      <c r="J888" s="5">
        <v>50638.26</v>
      </c>
      <c r="K888" s="3"/>
      <c r="L888" s="9">
        <f>I888*40%</f>
        <v>22593.936000000002</v>
      </c>
      <c r="M888" s="5"/>
      <c r="N888" s="5">
        <f t="shared" si="51"/>
        <v>50638.26</v>
      </c>
      <c r="O888" s="5">
        <f t="shared" si="52"/>
        <v>22593.936000000002</v>
      </c>
      <c r="P888" s="87">
        <v>45555</v>
      </c>
      <c r="Q888" s="8" t="s">
        <v>2800</v>
      </c>
      <c r="R888" s="61"/>
    </row>
    <row r="889" spans="1:18" ht="45" outlineLevel="1" x14ac:dyDescent="0.2">
      <c r="A889" s="3" t="s">
        <v>30</v>
      </c>
      <c r="B889" s="2" t="s">
        <v>2186</v>
      </c>
      <c r="C889" s="6" t="s">
        <v>42</v>
      </c>
      <c r="D889" s="2" t="s">
        <v>2187</v>
      </c>
      <c r="E889" s="3" t="s">
        <v>29</v>
      </c>
      <c r="F889" s="2" t="s">
        <v>494</v>
      </c>
      <c r="G889" s="2"/>
      <c r="H889" s="3" t="s">
        <v>215</v>
      </c>
      <c r="I889" s="5">
        <v>36259544.159999996</v>
      </c>
      <c r="J889" s="3">
        <v>18129772.079999998</v>
      </c>
      <c r="K889" s="3"/>
      <c r="L889" s="9">
        <f>I889*40%</f>
        <v>14503817.663999999</v>
      </c>
      <c r="M889" s="5">
        <v>14503817.66</v>
      </c>
      <c r="N889" s="5">
        <f t="shared" si="51"/>
        <v>3625954.4199999981</v>
      </c>
      <c r="O889" s="5">
        <f t="shared" si="52"/>
        <v>3.9999987930059433E-3</v>
      </c>
      <c r="P889" s="3"/>
      <c r="Q889" s="8" t="s">
        <v>2188</v>
      </c>
    </row>
    <row r="890" spans="1:18" s="44" customFormat="1" ht="30" outlineLevel="1" x14ac:dyDescent="0.25">
      <c r="A890" s="3" t="s">
        <v>30</v>
      </c>
      <c r="B890" s="2" t="s">
        <v>2189</v>
      </c>
      <c r="C890" s="6" t="s">
        <v>42</v>
      </c>
      <c r="D890" s="2" t="s">
        <v>2190</v>
      </c>
      <c r="E890" s="3" t="s">
        <v>29</v>
      </c>
      <c r="F890" s="2" t="s">
        <v>80</v>
      </c>
      <c r="G890" s="2" t="s">
        <v>2054</v>
      </c>
      <c r="H890" s="3"/>
      <c r="I890" s="21">
        <v>4913532</v>
      </c>
      <c r="J890" s="21">
        <v>2524824</v>
      </c>
      <c r="K890" s="3"/>
      <c r="L890" s="45">
        <v>1009929.6</v>
      </c>
      <c r="M890" s="45">
        <v>1009929.6</v>
      </c>
      <c r="N890" s="21">
        <f t="shared" si="51"/>
        <v>1514894.4</v>
      </c>
      <c r="O890" s="10">
        <f t="shared" si="52"/>
        <v>0</v>
      </c>
      <c r="P890" s="3"/>
      <c r="Q890" s="8" t="s">
        <v>2592</v>
      </c>
      <c r="R890" s="61"/>
    </row>
    <row r="891" spans="1:18" s="44" customFormat="1" ht="75" outlineLevel="1" x14ac:dyDescent="0.25">
      <c r="A891" s="3" t="s">
        <v>30</v>
      </c>
      <c r="B891" s="54" t="s">
        <v>2189</v>
      </c>
      <c r="C891" s="6" t="s">
        <v>42</v>
      </c>
      <c r="D891" s="2" t="s">
        <v>2192</v>
      </c>
      <c r="E891" s="3" t="s">
        <v>29</v>
      </c>
      <c r="F891" s="2" t="s">
        <v>230</v>
      </c>
      <c r="G891" s="2" t="s">
        <v>2055</v>
      </c>
      <c r="H891" s="3"/>
      <c r="I891" s="21">
        <v>217616994</v>
      </c>
      <c r="J891" s="21">
        <v>108808497</v>
      </c>
      <c r="K891" s="3"/>
      <c r="L891" s="45">
        <f>I891*40%</f>
        <v>87046797.600000009</v>
      </c>
      <c r="M891" s="21">
        <v>87046797.599999994</v>
      </c>
      <c r="N891" s="21">
        <f t="shared" si="51"/>
        <v>21761699.400000006</v>
      </c>
      <c r="O891" s="10">
        <f t="shared" si="52"/>
        <v>0</v>
      </c>
      <c r="P891" s="3"/>
      <c r="Q891" s="8" t="s">
        <v>2191</v>
      </c>
      <c r="R891" s="61"/>
    </row>
    <row r="892" spans="1:18" s="44" customFormat="1" ht="45" outlineLevel="1" x14ac:dyDescent="0.25">
      <c r="A892" s="3" t="s">
        <v>30</v>
      </c>
      <c r="B892" s="2" t="s">
        <v>2056</v>
      </c>
      <c r="C892" s="6" t="s">
        <v>42</v>
      </c>
      <c r="D892" s="2" t="s">
        <v>2057</v>
      </c>
      <c r="E892" s="3" t="s">
        <v>29</v>
      </c>
      <c r="F892" s="2"/>
      <c r="G892" s="2" t="s">
        <v>2058</v>
      </c>
      <c r="H892" s="3"/>
      <c r="I892" s="21">
        <v>12922362.02</v>
      </c>
      <c r="J892" s="21">
        <v>10337889.616</v>
      </c>
      <c r="K892" s="3"/>
      <c r="L892" s="21">
        <v>10337889.619999999</v>
      </c>
      <c r="M892" s="21">
        <v>10337889.619999999</v>
      </c>
      <c r="N892" s="21">
        <v>0</v>
      </c>
      <c r="O892" s="10">
        <f t="shared" si="52"/>
        <v>0</v>
      </c>
      <c r="P892" s="3"/>
      <c r="Q892" s="6" t="s">
        <v>2995</v>
      </c>
      <c r="R892" s="61"/>
    </row>
    <row r="893" spans="1:18" s="44" customFormat="1" ht="45" outlineLevel="1" x14ac:dyDescent="0.25">
      <c r="A893" s="3" t="s">
        <v>30</v>
      </c>
      <c r="B893" s="2" t="s">
        <v>2193</v>
      </c>
      <c r="C893" s="6" t="s">
        <v>42</v>
      </c>
      <c r="D893" s="2" t="s">
        <v>2194</v>
      </c>
      <c r="E893" s="3" t="s">
        <v>29</v>
      </c>
      <c r="F893" s="2" t="s">
        <v>155</v>
      </c>
      <c r="G893" s="2" t="s">
        <v>2195</v>
      </c>
      <c r="H893" s="3"/>
      <c r="I893" s="21">
        <v>51414262.739999995</v>
      </c>
      <c r="J893" s="21">
        <v>25707131.369999997</v>
      </c>
      <c r="K893" s="3"/>
      <c r="L893" s="21">
        <v>20565705.100000001</v>
      </c>
      <c r="M893" s="21">
        <v>20565705.100000001</v>
      </c>
      <c r="N893" s="21">
        <f t="shared" ref="N893:N940" si="53">J893-M893</f>
        <v>5141426.2699999958</v>
      </c>
      <c r="O893" s="10">
        <f t="shared" si="52"/>
        <v>0</v>
      </c>
      <c r="P893" s="3"/>
      <c r="Q893" s="8" t="s">
        <v>2196</v>
      </c>
      <c r="R893" s="61"/>
    </row>
    <row r="894" spans="1:18" s="44" customFormat="1" ht="30" outlineLevel="1" x14ac:dyDescent="0.25">
      <c r="A894" s="3" t="s">
        <v>30</v>
      </c>
      <c r="B894" s="2" t="s">
        <v>2197</v>
      </c>
      <c r="C894" s="6" t="s">
        <v>42</v>
      </c>
      <c r="D894" s="2" t="s">
        <v>2198</v>
      </c>
      <c r="E894" s="3" t="s">
        <v>29</v>
      </c>
      <c r="F894" s="2" t="s">
        <v>911</v>
      </c>
      <c r="G894" s="2" t="s">
        <v>2059</v>
      </c>
      <c r="H894" s="3" t="s">
        <v>215</v>
      </c>
      <c r="I894" s="21">
        <v>1841558.4</v>
      </c>
      <c r="J894" s="21">
        <f>I894*0.4</f>
        <v>736623.36</v>
      </c>
      <c r="K894" s="3"/>
      <c r="L894" s="9">
        <f>I894*40%</f>
        <v>736623.36</v>
      </c>
      <c r="M894" s="21"/>
      <c r="N894" s="21">
        <f t="shared" si="53"/>
        <v>736623.36</v>
      </c>
      <c r="O894" s="10">
        <f t="shared" si="52"/>
        <v>736623.36</v>
      </c>
      <c r="P894" s="1">
        <v>45545</v>
      </c>
      <c r="Q894" s="6" t="s">
        <v>2996</v>
      </c>
      <c r="R894" s="61"/>
    </row>
    <row r="895" spans="1:18" s="44" customFormat="1" ht="45" outlineLevel="1" x14ac:dyDescent="0.25">
      <c r="A895" s="3" t="s">
        <v>30</v>
      </c>
      <c r="B895" s="2" t="s">
        <v>2199</v>
      </c>
      <c r="C895" s="6" t="s">
        <v>42</v>
      </c>
      <c r="D895" s="2" t="s">
        <v>2060</v>
      </c>
      <c r="E895" s="3" t="s">
        <v>29</v>
      </c>
      <c r="F895" s="2" t="s">
        <v>1022</v>
      </c>
      <c r="G895" s="2" t="s">
        <v>2200</v>
      </c>
      <c r="H895" s="3" t="s">
        <v>215</v>
      </c>
      <c r="I895" s="21">
        <v>114089.04</v>
      </c>
      <c r="J895" s="21">
        <v>57044.52</v>
      </c>
      <c r="K895" s="3"/>
      <c r="L895" s="21">
        <v>57044.52</v>
      </c>
      <c r="M895" s="21">
        <v>57044.52</v>
      </c>
      <c r="N895" s="21">
        <f t="shared" si="53"/>
        <v>0</v>
      </c>
      <c r="O895" s="10">
        <f t="shared" si="52"/>
        <v>0</v>
      </c>
      <c r="P895" s="3"/>
      <c r="Q895" s="6" t="s">
        <v>2997</v>
      </c>
      <c r="R895" s="61"/>
    </row>
    <row r="896" spans="1:18" s="44" customFormat="1" ht="30" outlineLevel="1" x14ac:dyDescent="0.25">
      <c r="A896" s="3" t="s">
        <v>30</v>
      </c>
      <c r="B896" s="2" t="s">
        <v>2201</v>
      </c>
      <c r="C896" s="6" t="s">
        <v>42</v>
      </c>
      <c r="D896" s="2" t="s">
        <v>2202</v>
      </c>
      <c r="E896" s="3"/>
      <c r="F896" s="2" t="s">
        <v>1065</v>
      </c>
      <c r="G896" s="2" t="s">
        <v>2203</v>
      </c>
      <c r="H896" s="3" t="s">
        <v>215</v>
      </c>
      <c r="I896" s="21">
        <v>6000</v>
      </c>
      <c r="J896" s="21">
        <v>3000</v>
      </c>
      <c r="K896" s="3"/>
      <c r="L896" s="9">
        <f>I896*40%</f>
        <v>2400</v>
      </c>
      <c r="M896" s="21"/>
      <c r="N896" s="21">
        <f t="shared" si="53"/>
        <v>3000</v>
      </c>
      <c r="O896" s="10">
        <f t="shared" si="52"/>
        <v>2400</v>
      </c>
      <c r="P896" s="3"/>
      <c r="Q896" s="6" t="s">
        <v>2204</v>
      </c>
      <c r="R896" s="61"/>
    </row>
    <row r="897" spans="1:18" s="44" customFormat="1" ht="45" outlineLevel="1" x14ac:dyDescent="0.25">
      <c r="A897" s="3" t="s">
        <v>30</v>
      </c>
      <c r="B897" s="2" t="s">
        <v>2205</v>
      </c>
      <c r="C897" s="6" t="s">
        <v>42</v>
      </c>
      <c r="D897" s="2" t="s">
        <v>2061</v>
      </c>
      <c r="E897" s="3" t="s">
        <v>29</v>
      </c>
      <c r="F897" s="2" t="s">
        <v>494</v>
      </c>
      <c r="G897" s="2" t="s">
        <v>2062</v>
      </c>
      <c r="H897" s="3"/>
      <c r="I897" s="21">
        <v>3664038.4400000004</v>
      </c>
      <c r="J897" s="21">
        <f>I897*0.8</f>
        <v>2931230.7520000003</v>
      </c>
      <c r="K897" s="3"/>
      <c r="L897" s="21">
        <v>1465718.98</v>
      </c>
      <c r="M897" s="21">
        <v>1465718.98</v>
      </c>
      <c r="N897" s="21">
        <f t="shared" si="53"/>
        <v>1465511.7720000003</v>
      </c>
      <c r="O897" s="10">
        <f t="shared" si="52"/>
        <v>0</v>
      </c>
      <c r="P897" s="3"/>
      <c r="Q897" s="8" t="s">
        <v>2206</v>
      </c>
      <c r="R897" s="61"/>
    </row>
    <row r="898" spans="1:18" s="44" customFormat="1" ht="60" outlineLevel="1" x14ac:dyDescent="0.25">
      <c r="A898" s="3" t="s">
        <v>30</v>
      </c>
      <c r="B898" s="2" t="s">
        <v>2207</v>
      </c>
      <c r="C898" s="6" t="s">
        <v>42</v>
      </c>
      <c r="D898" s="2" t="s">
        <v>2208</v>
      </c>
      <c r="E898" s="3" t="s">
        <v>29</v>
      </c>
      <c r="F898" s="2" t="s">
        <v>996</v>
      </c>
      <c r="G898" s="2" t="s">
        <v>2209</v>
      </c>
      <c r="H898" s="3" t="s">
        <v>1311</v>
      </c>
      <c r="I898" s="21">
        <v>36479762.997500002</v>
      </c>
      <c r="J898" s="21">
        <v>18239881.498750001</v>
      </c>
      <c r="K898" s="3"/>
      <c r="L898" s="21">
        <v>14591782.199999999</v>
      </c>
      <c r="M898" s="21">
        <v>14591782.199999999</v>
      </c>
      <c r="N898" s="21">
        <f t="shared" si="53"/>
        <v>3648099.2987500019</v>
      </c>
      <c r="O898" s="10">
        <f t="shared" si="52"/>
        <v>0</v>
      </c>
      <c r="P898" s="3"/>
      <c r="Q898" s="8" t="s">
        <v>2074</v>
      </c>
      <c r="R898" s="61"/>
    </row>
    <row r="899" spans="1:18" s="44" customFormat="1" ht="45" outlineLevel="1" x14ac:dyDescent="0.25">
      <c r="A899" s="3" t="s">
        <v>30</v>
      </c>
      <c r="B899" s="54" t="s">
        <v>2210</v>
      </c>
      <c r="C899" s="6" t="s">
        <v>42</v>
      </c>
      <c r="D899" s="2" t="s">
        <v>2211</v>
      </c>
      <c r="E899" s="3" t="s">
        <v>29</v>
      </c>
      <c r="F899" s="2" t="s">
        <v>80</v>
      </c>
      <c r="G899" s="2" t="s">
        <v>2212</v>
      </c>
      <c r="H899" s="3"/>
      <c r="I899" s="21">
        <v>122120172</v>
      </c>
      <c r="J899" s="21">
        <v>97696137.600000009</v>
      </c>
      <c r="K899" s="3"/>
      <c r="L899" s="9">
        <f>I899*40%</f>
        <v>48848068.800000004</v>
      </c>
      <c r="M899" s="21">
        <v>48848068.799999997</v>
      </c>
      <c r="N899" s="21">
        <f t="shared" si="53"/>
        <v>48848068.800000012</v>
      </c>
      <c r="O899" s="10">
        <f t="shared" si="52"/>
        <v>0</v>
      </c>
      <c r="P899" s="3"/>
      <c r="Q899" s="6"/>
      <c r="R899" s="61"/>
    </row>
    <row r="900" spans="1:18" s="44" customFormat="1" ht="45" outlineLevel="1" x14ac:dyDescent="0.25">
      <c r="A900" s="3" t="s">
        <v>30</v>
      </c>
      <c r="B900" s="2" t="s">
        <v>2213</v>
      </c>
      <c r="C900" s="6" t="s">
        <v>42</v>
      </c>
      <c r="D900" s="2" t="s">
        <v>2214</v>
      </c>
      <c r="E900" s="3" t="s">
        <v>29</v>
      </c>
      <c r="F900" s="2" t="s">
        <v>1709</v>
      </c>
      <c r="G900" s="2" t="s">
        <v>2215</v>
      </c>
      <c r="H900" s="3"/>
      <c r="I900" s="21">
        <v>172277754.75</v>
      </c>
      <c r="J900" s="21">
        <v>86138877.375</v>
      </c>
      <c r="K900" s="3"/>
      <c r="L900" s="9">
        <f>I900*40%</f>
        <v>68911101.900000006</v>
      </c>
      <c r="M900" s="21">
        <v>68911101.900000006</v>
      </c>
      <c r="N900" s="21">
        <f t="shared" si="53"/>
        <v>17227775.474999994</v>
      </c>
      <c r="O900" s="10">
        <f t="shared" si="52"/>
        <v>0</v>
      </c>
      <c r="P900" s="3"/>
      <c r="Q900" s="6" t="s">
        <v>2998</v>
      </c>
      <c r="R900" s="61"/>
    </row>
    <row r="901" spans="1:18" s="44" customFormat="1" ht="93.75" customHeight="1" outlineLevel="1" x14ac:dyDescent="0.25">
      <c r="A901" s="3" t="s">
        <v>30</v>
      </c>
      <c r="B901" s="2" t="s">
        <v>1956</v>
      </c>
      <c r="C901" s="6" t="s">
        <v>42</v>
      </c>
      <c r="D901" s="2"/>
      <c r="E901" s="3" t="s">
        <v>2082</v>
      </c>
      <c r="F901" s="2" t="s">
        <v>230</v>
      </c>
      <c r="G901" s="2" t="s">
        <v>1963</v>
      </c>
      <c r="H901" s="3" t="s">
        <v>215</v>
      </c>
      <c r="I901" s="21">
        <v>22476060</v>
      </c>
      <c r="J901" s="21">
        <v>11238030</v>
      </c>
      <c r="K901" s="3"/>
      <c r="L901" s="9">
        <f>I901*40%</f>
        <v>8990424</v>
      </c>
      <c r="M901" s="21"/>
      <c r="N901" s="21">
        <f t="shared" si="53"/>
        <v>11238030</v>
      </c>
      <c r="O901" s="3">
        <f t="shared" si="52"/>
        <v>8990424</v>
      </c>
      <c r="P901" s="1">
        <v>45548</v>
      </c>
      <c r="Q901" s="8" t="s">
        <v>2782</v>
      </c>
      <c r="R901" s="61"/>
    </row>
    <row r="902" spans="1:18" s="44" customFormat="1" ht="180" outlineLevel="1" x14ac:dyDescent="0.25">
      <c r="A902" s="3" t="s">
        <v>30</v>
      </c>
      <c r="B902" s="111" t="s">
        <v>2216</v>
      </c>
      <c r="C902" s="6" t="s">
        <v>42</v>
      </c>
      <c r="D902" s="2" t="s">
        <v>2217</v>
      </c>
      <c r="E902" s="3" t="s">
        <v>29</v>
      </c>
      <c r="F902" s="2" t="s">
        <v>80</v>
      </c>
      <c r="G902" s="2" t="s">
        <v>2218</v>
      </c>
      <c r="H902" s="3" t="s">
        <v>215</v>
      </c>
      <c r="I902" s="21">
        <v>595436297.4000001</v>
      </c>
      <c r="J902" s="21">
        <v>535892667.66000009</v>
      </c>
      <c r="K902" s="3"/>
      <c r="L902" s="21">
        <v>535892667.66000003</v>
      </c>
      <c r="M902" s="21">
        <v>535892667.66000003</v>
      </c>
      <c r="N902" s="21">
        <f t="shared" si="53"/>
        <v>0</v>
      </c>
      <c r="O902" s="10">
        <f t="shared" si="52"/>
        <v>0</v>
      </c>
      <c r="P902" s="3"/>
      <c r="Q902" s="8" t="s">
        <v>2734</v>
      </c>
      <c r="R902" s="61"/>
    </row>
    <row r="903" spans="1:18" s="44" customFormat="1" ht="60" outlineLevel="1" x14ac:dyDescent="0.25">
      <c r="A903" s="3" t="s">
        <v>30</v>
      </c>
      <c r="B903" s="54" t="s">
        <v>2219</v>
      </c>
      <c r="C903" s="6" t="s">
        <v>42</v>
      </c>
      <c r="D903" s="2" t="s">
        <v>2220</v>
      </c>
      <c r="E903" s="3" t="s">
        <v>29</v>
      </c>
      <c r="F903" s="2"/>
      <c r="G903" s="2" t="s">
        <v>2221</v>
      </c>
      <c r="H903" s="3" t="s">
        <v>215</v>
      </c>
      <c r="I903" s="21">
        <v>365097.5</v>
      </c>
      <c r="J903" s="21">
        <v>292078</v>
      </c>
      <c r="K903" s="3"/>
      <c r="L903" s="21">
        <v>146039.18</v>
      </c>
      <c r="M903" s="21">
        <v>146039.18</v>
      </c>
      <c r="N903" s="21">
        <f t="shared" si="53"/>
        <v>146038.82</v>
      </c>
      <c r="O903" s="10">
        <f t="shared" si="52"/>
        <v>0</v>
      </c>
      <c r="P903" s="3"/>
      <c r="Q903" s="6" t="s">
        <v>2735</v>
      </c>
      <c r="R903" s="61"/>
    </row>
    <row r="904" spans="1:18" s="44" customFormat="1" ht="30" outlineLevel="1" x14ac:dyDescent="0.25">
      <c r="A904" s="3" t="s">
        <v>30</v>
      </c>
      <c r="B904" s="54" t="s">
        <v>2222</v>
      </c>
      <c r="C904" s="6" t="s">
        <v>42</v>
      </c>
      <c r="D904" s="2" t="s">
        <v>2223</v>
      </c>
      <c r="E904" s="3" t="s">
        <v>29</v>
      </c>
      <c r="F904" s="2"/>
      <c r="G904" s="2" t="s">
        <v>2224</v>
      </c>
      <c r="H904" s="3"/>
      <c r="I904" s="21">
        <v>2545319.16</v>
      </c>
      <c r="J904" s="21">
        <v>1272659.58</v>
      </c>
      <c r="K904" s="3"/>
      <c r="L904" s="21">
        <v>1018127.66</v>
      </c>
      <c r="M904" s="21">
        <v>1018127.66</v>
      </c>
      <c r="N904" s="21">
        <f t="shared" si="53"/>
        <v>254531.92000000004</v>
      </c>
      <c r="O904" s="10">
        <f t="shared" si="52"/>
        <v>0</v>
      </c>
      <c r="P904" s="3"/>
      <c r="Q904" s="6" t="s">
        <v>2736</v>
      </c>
      <c r="R904" s="61"/>
    </row>
    <row r="905" spans="1:18" s="44" customFormat="1" ht="45" outlineLevel="1" x14ac:dyDescent="0.25">
      <c r="A905" s="3" t="s">
        <v>30</v>
      </c>
      <c r="B905" s="112" t="s">
        <v>2225</v>
      </c>
      <c r="C905" s="6" t="s">
        <v>42</v>
      </c>
      <c r="D905" s="2" t="s">
        <v>2226</v>
      </c>
      <c r="E905" s="3" t="s">
        <v>29</v>
      </c>
      <c r="F905" s="2"/>
      <c r="G905" s="2" t="s">
        <v>2227</v>
      </c>
      <c r="H905" s="3"/>
      <c r="I905" s="21">
        <v>16816902</v>
      </c>
      <c r="J905" s="21">
        <v>8408451</v>
      </c>
      <c r="K905" s="3"/>
      <c r="L905" s="21">
        <v>6720784.7999999998</v>
      </c>
      <c r="M905" s="21">
        <v>6720784.7999999998</v>
      </c>
      <c r="N905" s="21">
        <f t="shared" si="53"/>
        <v>1687666.2000000002</v>
      </c>
      <c r="O905" s="113">
        <f>L905-M905</f>
        <v>0</v>
      </c>
      <c r="P905" s="3"/>
      <c r="Q905" s="6" t="s">
        <v>2737</v>
      </c>
      <c r="R905" s="61"/>
    </row>
    <row r="906" spans="1:18" s="44" customFormat="1" ht="45" outlineLevel="1" x14ac:dyDescent="0.25">
      <c r="A906" s="3" t="s">
        <v>30</v>
      </c>
      <c r="B906" s="112" t="s">
        <v>2228</v>
      </c>
      <c r="C906" s="6" t="s">
        <v>42</v>
      </c>
      <c r="D906" s="2" t="s">
        <v>2229</v>
      </c>
      <c r="E906" s="3" t="s">
        <v>29</v>
      </c>
      <c r="F906" s="2"/>
      <c r="G906" s="2" t="s">
        <v>2230</v>
      </c>
      <c r="H906" s="3"/>
      <c r="I906" s="21">
        <v>6461672.6900000004</v>
      </c>
      <c r="J906" s="21">
        <v>3230836.3450000002</v>
      </c>
      <c r="K906" s="3"/>
      <c r="L906" s="21">
        <v>3230836.34</v>
      </c>
      <c r="M906" s="21">
        <v>3230836.34</v>
      </c>
      <c r="N906" s="21">
        <f t="shared" si="53"/>
        <v>5.0000003539025784E-3</v>
      </c>
      <c r="O906" s="10">
        <f t="shared" si="52"/>
        <v>0</v>
      </c>
      <c r="P906" s="3" t="s">
        <v>2044</v>
      </c>
      <c r="Q906" s="8" t="s">
        <v>2231</v>
      </c>
      <c r="R906" s="61"/>
    </row>
    <row r="907" spans="1:18" s="44" customFormat="1" ht="30" outlineLevel="1" x14ac:dyDescent="0.25">
      <c r="A907" s="3" t="s">
        <v>30</v>
      </c>
      <c r="B907" s="112" t="s">
        <v>2232</v>
      </c>
      <c r="C907" s="6" t="s">
        <v>42</v>
      </c>
      <c r="D907" s="2" t="s">
        <v>2202</v>
      </c>
      <c r="E907" s="3" t="s">
        <v>29</v>
      </c>
      <c r="F907" s="2"/>
      <c r="G907" s="2" t="s">
        <v>2233</v>
      </c>
      <c r="H907" s="3" t="s">
        <v>215</v>
      </c>
      <c r="I907" s="21">
        <v>15494.400000000001</v>
      </c>
      <c r="J907" s="21">
        <v>7747.2000000000007</v>
      </c>
      <c r="K907" s="3"/>
      <c r="L907" s="9">
        <f t="shared" ref="L907:L915" si="54">I907*40%</f>
        <v>6197.7600000000011</v>
      </c>
      <c r="M907" s="21"/>
      <c r="N907" s="21">
        <f t="shared" si="53"/>
        <v>7747.2000000000007</v>
      </c>
      <c r="O907" s="10">
        <f t="shared" si="52"/>
        <v>6197.7600000000011</v>
      </c>
      <c r="P907" s="3"/>
      <c r="Q907" s="6" t="s">
        <v>2204</v>
      </c>
      <c r="R907" s="61"/>
    </row>
    <row r="908" spans="1:18" s="44" customFormat="1" ht="60" outlineLevel="1" x14ac:dyDescent="0.25">
      <c r="A908" s="3" t="s">
        <v>30</v>
      </c>
      <c r="B908" s="112" t="s">
        <v>2234</v>
      </c>
      <c r="C908" s="6" t="s">
        <v>42</v>
      </c>
      <c r="D908" s="2" t="s">
        <v>2235</v>
      </c>
      <c r="E908" s="3" t="s">
        <v>29</v>
      </c>
      <c r="F908" s="2"/>
      <c r="G908" s="2" t="s">
        <v>2236</v>
      </c>
      <c r="H908" s="3"/>
      <c r="I908" s="21">
        <v>834480</v>
      </c>
      <c r="J908" s="21">
        <v>417240</v>
      </c>
      <c r="K908" s="3"/>
      <c r="L908" s="9">
        <f t="shared" si="54"/>
        <v>333792</v>
      </c>
      <c r="M908" s="21"/>
      <c r="N908" s="21">
        <f t="shared" si="53"/>
        <v>417240</v>
      </c>
      <c r="O908" s="10">
        <f t="shared" si="52"/>
        <v>333792</v>
      </c>
      <c r="P908" s="3"/>
      <c r="Q908" s="8" t="s">
        <v>2999</v>
      </c>
      <c r="R908" s="61"/>
    </row>
    <row r="909" spans="1:18" s="44" customFormat="1" ht="30" outlineLevel="1" x14ac:dyDescent="0.25">
      <c r="A909" s="3" t="s">
        <v>30</v>
      </c>
      <c r="B909" s="112" t="s">
        <v>2237</v>
      </c>
      <c r="C909" s="6" t="s">
        <v>42</v>
      </c>
      <c r="D909" s="2" t="s">
        <v>2238</v>
      </c>
      <c r="E909" s="3" t="s">
        <v>29</v>
      </c>
      <c r="F909" s="2"/>
      <c r="G909" s="2" t="s">
        <v>2239</v>
      </c>
      <c r="H909" s="3"/>
      <c r="I909" s="21">
        <v>1368540</v>
      </c>
      <c r="J909" s="21">
        <v>684270</v>
      </c>
      <c r="K909" s="3"/>
      <c r="L909" s="9">
        <f t="shared" si="54"/>
        <v>547416</v>
      </c>
      <c r="M909" s="21">
        <v>547416</v>
      </c>
      <c r="N909" s="21">
        <f t="shared" si="53"/>
        <v>136854</v>
      </c>
      <c r="O909" s="10">
        <f t="shared" si="52"/>
        <v>0</v>
      </c>
      <c r="P909" s="3"/>
      <c r="Q909" s="8" t="s">
        <v>2738</v>
      </c>
      <c r="R909" s="61"/>
    </row>
    <row r="910" spans="1:18" s="44" customFormat="1" ht="105" outlineLevel="1" x14ac:dyDescent="0.25">
      <c r="A910" s="3" t="s">
        <v>30</v>
      </c>
      <c r="B910" s="112" t="s">
        <v>1957</v>
      </c>
      <c r="C910" s="6" t="s">
        <v>42</v>
      </c>
      <c r="D910" s="2" t="s">
        <v>2240</v>
      </c>
      <c r="E910" s="3" t="s">
        <v>29</v>
      </c>
      <c r="F910" s="2"/>
      <c r="G910" s="2" t="s">
        <v>2241</v>
      </c>
      <c r="H910" s="3"/>
      <c r="I910" s="21">
        <v>35341611.299999997</v>
      </c>
      <c r="J910" s="21">
        <v>28273289.039999999</v>
      </c>
      <c r="K910" s="3">
        <v>80</v>
      </c>
      <c r="L910" s="9">
        <f t="shared" si="54"/>
        <v>14136644.52</v>
      </c>
      <c r="M910" s="21">
        <v>14136644.52</v>
      </c>
      <c r="N910" s="21">
        <f t="shared" si="53"/>
        <v>14136644.52</v>
      </c>
      <c r="O910" s="10">
        <f t="shared" si="52"/>
        <v>0</v>
      </c>
      <c r="P910" s="84">
        <v>45538</v>
      </c>
      <c r="Q910" s="6" t="s">
        <v>2242</v>
      </c>
      <c r="R910" s="61"/>
    </row>
    <row r="911" spans="1:18" s="44" customFormat="1" ht="45" outlineLevel="1" x14ac:dyDescent="0.25">
      <c r="A911" s="3" t="s">
        <v>30</v>
      </c>
      <c r="B911" s="114" t="s">
        <v>2243</v>
      </c>
      <c r="C911" s="6" t="s">
        <v>42</v>
      </c>
      <c r="D911" s="2" t="s">
        <v>2244</v>
      </c>
      <c r="E911" s="3" t="s">
        <v>29</v>
      </c>
      <c r="F911" s="2"/>
      <c r="G911" s="2" t="s">
        <v>2245</v>
      </c>
      <c r="H911" s="3"/>
      <c r="I911" s="21">
        <v>335544.48000000004</v>
      </c>
      <c r="J911" s="21">
        <v>167772.24000000002</v>
      </c>
      <c r="K911" s="3"/>
      <c r="L911" s="9">
        <f t="shared" si="54"/>
        <v>134217.79200000002</v>
      </c>
      <c r="M911" s="21"/>
      <c r="N911" s="21">
        <f t="shared" si="53"/>
        <v>167772.24000000002</v>
      </c>
      <c r="O911" s="10">
        <f t="shared" si="52"/>
        <v>134217.79200000002</v>
      </c>
      <c r="P911" s="3"/>
      <c r="Q911" s="8" t="s">
        <v>2739</v>
      </c>
      <c r="R911" s="61"/>
    </row>
    <row r="912" spans="1:18" s="44" customFormat="1" ht="60" outlineLevel="1" x14ac:dyDescent="0.25">
      <c r="A912" s="3" t="s">
        <v>30</v>
      </c>
      <c r="B912" s="115" t="s">
        <v>2246</v>
      </c>
      <c r="C912" s="6" t="s">
        <v>42</v>
      </c>
      <c r="D912" s="2" t="s">
        <v>2247</v>
      </c>
      <c r="E912" s="3" t="s">
        <v>29</v>
      </c>
      <c r="F912" s="2"/>
      <c r="G912" s="2" t="s">
        <v>2248</v>
      </c>
      <c r="H912" s="3"/>
      <c r="I912" s="21">
        <v>6552000</v>
      </c>
      <c r="J912" s="21">
        <v>3276000</v>
      </c>
      <c r="K912" s="3"/>
      <c r="L912" s="9">
        <f t="shared" si="54"/>
        <v>2620800</v>
      </c>
      <c r="M912" s="21">
        <v>2620800</v>
      </c>
      <c r="N912" s="21">
        <f t="shared" si="53"/>
        <v>655200</v>
      </c>
      <c r="O912" s="10">
        <f t="shared" si="52"/>
        <v>0</v>
      </c>
      <c r="P912" s="3"/>
      <c r="Q912" s="8" t="s">
        <v>2249</v>
      </c>
      <c r="R912" s="61"/>
    </row>
    <row r="913" spans="1:18" s="44" customFormat="1" ht="30" outlineLevel="1" x14ac:dyDescent="0.25">
      <c r="A913" s="3" t="s">
        <v>30</v>
      </c>
      <c r="B913" s="2" t="s">
        <v>2250</v>
      </c>
      <c r="C913" s="6" t="s">
        <v>42</v>
      </c>
      <c r="D913" s="2" t="s">
        <v>2251</v>
      </c>
      <c r="E913" s="3" t="s">
        <v>29</v>
      </c>
      <c r="F913" s="2"/>
      <c r="G913" s="2" t="s">
        <v>2252</v>
      </c>
      <c r="H913" s="3"/>
      <c r="I913" s="21">
        <v>613080</v>
      </c>
      <c r="J913" s="21">
        <v>306540</v>
      </c>
      <c r="K913" s="3"/>
      <c r="L913" s="9">
        <f t="shared" si="54"/>
        <v>245232</v>
      </c>
      <c r="M913" s="21"/>
      <c r="N913" s="21">
        <f t="shared" si="53"/>
        <v>306540</v>
      </c>
      <c r="O913" s="10">
        <f t="shared" si="52"/>
        <v>245232</v>
      </c>
      <c r="P913" s="3"/>
      <c r="Q913" s="8" t="s">
        <v>2253</v>
      </c>
      <c r="R913" s="61"/>
    </row>
    <row r="914" spans="1:18" s="44" customFormat="1" ht="60" outlineLevel="1" x14ac:dyDescent="0.25">
      <c r="A914" s="3" t="s">
        <v>30</v>
      </c>
      <c r="B914" s="2" t="s">
        <v>2254</v>
      </c>
      <c r="C914" s="6" t="s">
        <v>42</v>
      </c>
      <c r="D914" s="2" t="s">
        <v>2255</v>
      </c>
      <c r="E914" s="3" t="s">
        <v>29</v>
      </c>
      <c r="F914" s="2"/>
      <c r="G914" s="2" t="s">
        <v>2256</v>
      </c>
      <c r="H914" s="3"/>
      <c r="I914" s="21">
        <v>63288</v>
      </c>
      <c r="J914" s="21">
        <v>31644</v>
      </c>
      <c r="K914" s="3"/>
      <c r="L914" s="9">
        <f t="shared" si="54"/>
        <v>25315.200000000001</v>
      </c>
      <c r="M914" s="21"/>
      <c r="N914" s="21">
        <f t="shared" si="53"/>
        <v>31644</v>
      </c>
      <c r="O914" s="10">
        <f t="shared" si="52"/>
        <v>25315.200000000001</v>
      </c>
      <c r="P914" s="1">
        <v>45531</v>
      </c>
      <c r="Q914" s="8" t="s">
        <v>2593</v>
      </c>
      <c r="R914" s="61"/>
    </row>
    <row r="915" spans="1:18" s="44" customFormat="1" ht="30" outlineLevel="1" x14ac:dyDescent="0.25">
      <c r="A915" s="3" t="s">
        <v>30</v>
      </c>
      <c r="B915" s="2" t="s">
        <v>2257</v>
      </c>
      <c r="C915" s="6" t="s">
        <v>42</v>
      </c>
      <c r="D915" s="2" t="s">
        <v>2258</v>
      </c>
      <c r="E915" s="3" t="s">
        <v>29</v>
      </c>
      <c r="F915" s="2"/>
      <c r="G915" s="2" t="s">
        <v>2259</v>
      </c>
      <c r="H915" s="3"/>
      <c r="I915" s="21">
        <v>1726459.9200000002</v>
      </c>
      <c r="J915" s="21">
        <v>863229.96000000008</v>
      </c>
      <c r="K915" s="3"/>
      <c r="L915" s="9">
        <f t="shared" si="54"/>
        <v>690583.96800000011</v>
      </c>
      <c r="M915" s="21"/>
      <c r="N915" s="21">
        <f t="shared" si="53"/>
        <v>863229.96000000008</v>
      </c>
      <c r="O915" s="10">
        <f t="shared" si="52"/>
        <v>690583.96800000011</v>
      </c>
      <c r="P915" s="3"/>
      <c r="Q915" s="7" t="s">
        <v>3000</v>
      </c>
      <c r="R915" s="61"/>
    </row>
    <row r="916" spans="1:18" s="44" customFormat="1" ht="30" outlineLevel="1" x14ac:dyDescent="0.25">
      <c r="A916" s="3" t="s">
        <v>30</v>
      </c>
      <c r="B916" s="2" t="s">
        <v>2260</v>
      </c>
      <c r="C916" s="6" t="s">
        <v>42</v>
      </c>
      <c r="D916" s="2" t="s">
        <v>958</v>
      </c>
      <c r="E916" s="3" t="s">
        <v>29</v>
      </c>
      <c r="F916" s="2"/>
      <c r="G916" s="2" t="s">
        <v>2261</v>
      </c>
      <c r="H916" s="3"/>
      <c r="I916" s="21">
        <v>1314306</v>
      </c>
      <c r="J916" s="21">
        <v>657153</v>
      </c>
      <c r="K916" s="3"/>
      <c r="L916" s="21">
        <v>657153</v>
      </c>
      <c r="M916" s="21">
        <v>657153</v>
      </c>
      <c r="N916" s="21">
        <f t="shared" si="53"/>
        <v>0</v>
      </c>
      <c r="O916" s="10">
        <f t="shared" si="52"/>
        <v>0</v>
      </c>
      <c r="P916" s="3"/>
      <c r="Q916" s="6" t="s">
        <v>2032</v>
      </c>
      <c r="R916" s="61"/>
    </row>
    <row r="917" spans="1:18" s="117" customFormat="1" ht="60" outlineLevel="1" x14ac:dyDescent="0.25">
      <c r="A917" s="3" t="s">
        <v>30</v>
      </c>
      <c r="B917" s="8" t="s">
        <v>2262</v>
      </c>
      <c r="C917" s="6" t="s">
        <v>42</v>
      </c>
      <c r="D917" s="8" t="s">
        <v>2263</v>
      </c>
      <c r="E917" s="3" t="s">
        <v>29</v>
      </c>
      <c r="F917" s="8"/>
      <c r="G917" s="8" t="s">
        <v>2264</v>
      </c>
      <c r="H917" s="6"/>
      <c r="I917" s="116">
        <v>1931188.8599999999</v>
      </c>
      <c r="J917" s="116">
        <v>1544951.088</v>
      </c>
      <c r="K917" s="6"/>
      <c r="L917" s="9">
        <f>I917*40%</f>
        <v>772475.54399999999</v>
      </c>
      <c r="M917" s="116"/>
      <c r="N917" s="116">
        <f t="shared" si="53"/>
        <v>1544951.088</v>
      </c>
      <c r="O917" s="92">
        <f t="shared" si="52"/>
        <v>772475.54399999999</v>
      </c>
      <c r="P917" s="6" t="s">
        <v>2044</v>
      </c>
      <c r="Q917" s="6" t="s">
        <v>3001</v>
      </c>
      <c r="R917" s="55"/>
    </row>
    <row r="918" spans="1:18" s="44" customFormat="1" ht="30" outlineLevel="1" x14ac:dyDescent="0.25">
      <c r="A918" s="3" t="s">
        <v>30</v>
      </c>
      <c r="B918" s="2" t="s">
        <v>1958</v>
      </c>
      <c r="C918" s="6" t="s">
        <v>42</v>
      </c>
      <c r="D918" s="2"/>
      <c r="E918" s="3" t="s">
        <v>29</v>
      </c>
      <c r="F918" s="2"/>
      <c r="G918" s="2" t="s">
        <v>1964</v>
      </c>
      <c r="H918" s="3"/>
      <c r="I918" s="21">
        <v>117540</v>
      </c>
      <c r="J918" s="21">
        <v>117540</v>
      </c>
      <c r="K918" s="3"/>
      <c r="L918" s="9">
        <f>I918*40%</f>
        <v>47016</v>
      </c>
      <c r="M918" s="21"/>
      <c r="N918" s="21">
        <f t="shared" si="53"/>
        <v>117540</v>
      </c>
      <c r="O918" s="10">
        <f t="shared" si="52"/>
        <v>47016</v>
      </c>
      <c r="P918" s="3" t="s">
        <v>2044</v>
      </c>
      <c r="Q918" s="6" t="s">
        <v>2594</v>
      </c>
      <c r="R918" s="61"/>
    </row>
    <row r="919" spans="1:18" s="44" customFormat="1" ht="30" outlineLevel="1" x14ac:dyDescent="0.25">
      <c r="A919" s="3" t="s">
        <v>30</v>
      </c>
      <c r="B919" s="2" t="s">
        <v>1958</v>
      </c>
      <c r="C919" s="6" t="s">
        <v>42</v>
      </c>
      <c r="D919" s="2" t="s">
        <v>2265</v>
      </c>
      <c r="E919" s="3" t="s">
        <v>29</v>
      </c>
      <c r="F919" s="2"/>
      <c r="G919" s="2" t="s">
        <v>2266</v>
      </c>
      <c r="H919" s="3"/>
      <c r="I919" s="21">
        <v>12437.28</v>
      </c>
      <c r="J919" s="21">
        <v>12437.28</v>
      </c>
      <c r="K919" s="3"/>
      <c r="L919" s="21">
        <v>12437.28</v>
      </c>
      <c r="M919" s="21">
        <v>12437.28</v>
      </c>
      <c r="N919" s="21">
        <f t="shared" si="53"/>
        <v>0</v>
      </c>
      <c r="O919" s="10">
        <f t="shared" si="52"/>
        <v>0</v>
      </c>
      <c r="P919" s="3"/>
      <c r="Q919" s="6" t="s">
        <v>2033</v>
      </c>
      <c r="R919" s="61"/>
    </row>
    <row r="920" spans="1:18" s="44" customFormat="1" ht="45" outlineLevel="1" x14ac:dyDescent="0.25">
      <c r="A920" s="3" t="s">
        <v>30</v>
      </c>
      <c r="B920" s="2" t="s">
        <v>2267</v>
      </c>
      <c r="C920" s="6" t="s">
        <v>42</v>
      </c>
      <c r="D920" s="2" t="s">
        <v>2268</v>
      </c>
      <c r="E920" s="3" t="s">
        <v>29</v>
      </c>
      <c r="F920" s="2"/>
      <c r="G920" s="2" t="s">
        <v>2269</v>
      </c>
      <c r="H920" s="3"/>
      <c r="I920" s="5">
        <v>1801411.38</v>
      </c>
      <c r="J920" s="5">
        <v>900705.69</v>
      </c>
      <c r="K920" s="3"/>
      <c r="L920" s="9">
        <f>I920*40%</f>
        <v>720564.55200000003</v>
      </c>
      <c r="M920" s="5"/>
      <c r="N920" s="5">
        <f t="shared" si="53"/>
        <v>900705.69</v>
      </c>
      <c r="O920" s="5">
        <f t="shared" si="52"/>
        <v>720564.55200000003</v>
      </c>
      <c r="P920" s="3" t="s">
        <v>2044</v>
      </c>
      <c r="Q920" s="6" t="s">
        <v>3002</v>
      </c>
      <c r="R920" s="61"/>
    </row>
    <row r="921" spans="1:18" s="44" customFormat="1" ht="45" outlineLevel="1" x14ac:dyDescent="0.25">
      <c r="A921" s="3" t="s">
        <v>30</v>
      </c>
      <c r="B921" s="2" t="s">
        <v>2270</v>
      </c>
      <c r="C921" s="6" t="s">
        <v>42</v>
      </c>
      <c r="D921" s="2" t="s">
        <v>2271</v>
      </c>
      <c r="E921" s="3" t="s">
        <v>29</v>
      </c>
      <c r="F921" s="2"/>
      <c r="G921" s="2" t="s">
        <v>2272</v>
      </c>
      <c r="H921" s="3"/>
      <c r="I921" s="5">
        <v>12989865.060000001</v>
      </c>
      <c r="J921" s="5">
        <v>6494932.5300000003</v>
      </c>
      <c r="K921" s="3"/>
      <c r="L921" s="9">
        <f>I921*40%</f>
        <v>5195946.0240000002</v>
      </c>
      <c r="M921" s="5">
        <v>5195946.0199999996</v>
      </c>
      <c r="N921" s="5">
        <f t="shared" si="53"/>
        <v>1298986.5100000007</v>
      </c>
      <c r="O921" s="5">
        <f t="shared" si="52"/>
        <v>4.0000006556510925E-3</v>
      </c>
      <c r="P921" s="3"/>
      <c r="Q921" s="6" t="s">
        <v>1975</v>
      </c>
      <c r="R921" s="61"/>
    </row>
    <row r="922" spans="1:18" s="44" customFormat="1" ht="45" outlineLevel="1" x14ac:dyDescent="0.25">
      <c r="A922" s="3" t="s">
        <v>30</v>
      </c>
      <c r="B922" s="2" t="s">
        <v>2273</v>
      </c>
      <c r="C922" s="6" t="s">
        <v>42</v>
      </c>
      <c r="D922" s="2" t="s">
        <v>2274</v>
      </c>
      <c r="E922" s="3" t="s">
        <v>29</v>
      </c>
      <c r="F922" s="2"/>
      <c r="G922" s="2" t="s">
        <v>2275</v>
      </c>
      <c r="H922" s="3"/>
      <c r="I922" s="5">
        <v>147452147.99999997</v>
      </c>
      <c r="J922" s="5">
        <v>117961718.39999998</v>
      </c>
      <c r="K922" s="3"/>
      <c r="L922" s="9">
        <f>I922*40%</f>
        <v>58980859.199999988</v>
      </c>
      <c r="M922" s="5">
        <v>58980859.200000003</v>
      </c>
      <c r="N922" s="5">
        <f t="shared" si="53"/>
        <v>58980859.199999973</v>
      </c>
      <c r="O922" s="5">
        <f t="shared" si="52"/>
        <v>0</v>
      </c>
      <c r="P922" s="3"/>
      <c r="Q922" s="6" t="s">
        <v>1975</v>
      </c>
      <c r="R922" s="61"/>
    </row>
    <row r="923" spans="1:18" s="44" customFormat="1" ht="45" outlineLevel="1" x14ac:dyDescent="0.25">
      <c r="A923" s="3" t="s">
        <v>30</v>
      </c>
      <c r="B923" s="2" t="s">
        <v>2273</v>
      </c>
      <c r="C923" s="6" t="s">
        <v>42</v>
      </c>
      <c r="D923" s="2" t="s">
        <v>2276</v>
      </c>
      <c r="E923" s="3" t="s">
        <v>29</v>
      </c>
      <c r="F923" s="2"/>
      <c r="G923" s="2" t="s">
        <v>2277</v>
      </c>
      <c r="H923" s="3"/>
      <c r="I923" s="5">
        <v>273582</v>
      </c>
      <c r="J923" s="5">
        <v>218865.6</v>
      </c>
      <c r="K923" s="3"/>
      <c r="L923" s="21">
        <v>190584</v>
      </c>
      <c r="M923" s="5">
        <v>190584</v>
      </c>
      <c r="N923" s="5">
        <f t="shared" si="53"/>
        <v>28281.600000000006</v>
      </c>
      <c r="O923" s="5">
        <f t="shared" si="52"/>
        <v>0</v>
      </c>
      <c r="P923" s="3"/>
      <c r="Q923" s="6" t="s">
        <v>1979</v>
      </c>
      <c r="R923" s="61"/>
    </row>
    <row r="924" spans="1:18" s="44" customFormat="1" ht="30" outlineLevel="1" x14ac:dyDescent="0.25">
      <c r="A924" s="3" t="s">
        <v>30</v>
      </c>
      <c r="B924" s="2" t="s">
        <v>2278</v>
      </c>
      <c r="C924" s="6" t="s">
        <v>42</v>
      </c>
      <c r="D924" s="2" t="s">
        <v>1646</v>
      </c>
      <c r="E924" s="3" t="s">
        <v>29</v>
      </c>
      <c r="F924" s="2"/>
      <c r="G924" s="2" t="s">
        <v>2279</v>
      </c>
      <c r="H924" s="3"/>
      <c r="I924" s="5">
        <v>2376788.67</v>
      </c>
      <c r="J924" s="5">
        <v>1188394.335</v>
      </c>
      <c r="K924" s="3"/>
      <c r="L924" s="21">
        <v>977060.02</v>
      </c>
      <c r="M924" s="5">
        <v>977060.02</v>
      </c>
      <c r="N924" s="5">
        <f t="shared" si="53"/>
        <v>211334.31499999994</v>
      </c>
      <c r="O924" s="5">
        <f t="shared" si="52"/>
        <v>0</v>
      </c>
      <c r="P924" s="3"/>
      <c r="Q924" s="6" t="s">
        <v>1975</v>
      </c>
      <c r="R924" s="61"/>
    </row>
    <row r="925" spans="1:18" s="44" customFormat="1" ht="30" outlineLevel="1" x14ac:dyDescent="0.25">
      <c r="A925" s="3" t="s">
        <v>30</v>
      </c>
      <c r="B925" s="2" t="s">
        <v>1959</v>
      </c>
      <c r="C925" s="6" t="s">
        <v>42</v>
      </c>
      <c r="D925" s="2" t="s">
        <v>2280</v>
      </c>
      <c r="E925" s="3" t="s">
        <v>29</v>
      </c>
      <c r="F925" s="2"/>
      <c r="G925" s="2" t="s">
        <v>2281</v>
      </c>
      <c r="H925" s="3"/>
      <c r="I925" s="5">
        <v>789282</v>
      </c>
      <c r="J925" s="5">
        <v>394641</v>
      </c>
      <c r="K925" s="3"/>
      <c r="L925" s="9">
        <f>I925*40%</f>
        <v>315712.80000000005</v>
      </c>
      <c r="M925" s="5"/>
      <c r="N925" s="5">
        <f t="shared" si="53"/>
        <v>394641</v>
      </c>
      <c r="O925" s="5">
        <f t="shared" si="52"/>
        <v>315712.80000000005</v>
      </c>
      <c r="P925" s="3" t="s">
        <v>2044</v>
      </c>
      <c r="Q925" s="6" t="s">
        <v>2595</v>
      </c>
      <c r="R925" s="61"/>
    </row>
    <row r="926" spans="1:18" s="44" customFormat="1" ht="30" outlineLevel="1" x14ac:dyDescent="0.25">
      <c r="A926" s="3" t="s">
        <v>30</v>
      </c>
      <c r="B926" s="2" t="s">
        <v>2282</v>
      </c>
      <c r="C926" s="6" t="s">
        <v>42</v>
      </c>
      <c r="D926" s="2" t="s">
        <v>2283</v>
      </c>
      <c r="E926" s="3" t="s">
        <v>29</v>
      </c>
      <c r="F926" s="2"/>
      <c r="G926" s="2" t="s">
        <v>2284</v>
      </c>
      <c r="H926" s="3"/>
      <c r="I926" s="5">
        <v>3817692</v>
      </c>
      <c r="J926" s="5">
        <v>1908846</v>
      </c>
      <c r="K926" s="3"/>
      <c r="L926" s="9">
        <f>I926*40%</f>
        <v>1527076.8</v>
      </c>
      <c r="M926" s="5">
        <v>1527076.8</v>
      </c>
      <c r="N926" s="5">
        <f t="shared" si="53"/>
        <v>381769.19999999995</v>
      </c>
      <c r="O926" s="5">
        <f t="shared" si="52"/>
        <v>0</v>
      </c>
      <c r="P926" s="3"/>
      <c r="Q926" s="6" t="s">
        <v>1975</v>
      </c>
      <c r="R926" s="61"/>
    </row>
    <row r="927" spans="1:18" s="44" customFormat="1" ht="45" outlineLevel="1" x14ac:dyDescent="0.25">
      <c r="A927" s="3" t="s">
        <v>30</v>
      </c>
      <c r="B927" s="2" t="s">
        <v>2285</v>
      </c>
      <c r="C927" s="6" t="s">
        <v>42</v>
      </c>
      <c r="D927" s="2" t="s">
        <v>2286</v>
      </c>
      <c r="E927" s="3" t="s">
        <v>29</v>
      </c>
      <c r="F927" s="2"/>
      <c r="G927" s="2" t="s">
        <v>2287</v>
      </c>
      <c r="H927" s="3"/>
      <c r="I927" s="5">
        <v>208171.98</v>
      </c>
      <c r="J927" s="5">
        <v>83268.789999999994</v>
      </c>
      <c r="K927" s="3"/>
      <c r="L927" s="9">
        <v>83268.789999999994</v>
      </c>
      <c r="M927" s="5">
        <v>83268.789999999994</v>
      </c>
      <c r="N927" s="5">
        <f t="shared" si="53"/>
        <v>0</v>
      </c>
      <c r="O927" s="5">
        <f t="shared" si="52"/>
        <v>0</v>
      </c>
      <c r="P927" s="3"/>
      <c r="Q927" s="8" t="s">
        <v>3003</v>
      </c>
      <c r="R927" s="61"/>
    </row>
    <row r="928" spans="1:18" s="44" customFormat="1" ht="135" outlineLevel="1" x14ac:dyDescent="0.25">
      <c r="A928" s="3" t="s">
        <v>30</v>
      </c>
      <c r="B928" s="2" t="s">
        <v>2288</v>
      </c>
      <c r="C928" s="6" t="s">
        <v>42</v>
      </c>
      <c r="D928" s="2" t="s">
        <v>2289</v>
      </c>
      <c r="E928" s="3" t="s">
        <v>29</v>
      </c>
      <c r="F928" s="2"/>
      <c r="G928" s="2" t="s">
        <v>2290</v>
      </c>
      <c r="H928" s="3"/>
      <c r="I928" s="5">
        <v>11376141.300000001</v>
      </c>
      <c r="J928" s="5">
        <v>4550456.5200000005</v>
      </c>
      <c r="K928" s="3"/>
      <c r="L928" s="9">
        <f>I928*40%</f>
        <v>4550456.5200000005</v>
      </c>
      <c r="M928" s="5">
        <v>4550456.5199999996</v>
      </c>
      <c r="N928" s="5">
        <f t="shared" si="53"/>
        <v>0</v>
      </c>
      <c r="O928" s="5">
        <f t="shared" si="52"/>
        <v>0</v>
      </c>
      <c r="P928" s="3"/>
      <c r="Q928" s="6" t="s">
        <v>2291</v>
      </c>
      <c r="R928" s="61"/>
    </row>
    <row r="929" spans="1:18" s="44" customFormat="1" ht="30" outlineLevel="1" x14ac:dyDescent="0.25">
      <c r="A929" s="3" t="s">
        <v>30</v>
      </c>
      <c r="B929" s="2" t="s">
        <v>2292</v>
      </c>
      <c r="C929" s="6" t="s">
        <v>42</v>
      </c>
      <c r="D929" s="2" t="s">
        <v>2293</v>
      </c>
      <c r="E929" s="3" t="s">
        <v>29</v>
      </c>
      <c r="F929" s="2"/>
      <c r="G929" s="2" t="s">
        <v>2294</v>
      </c>
      <c r="H929" s="3"/>
      <c r="I929" s="5">
        <v>12978344.59</v>
      </c>
      <c r="J929" s="5">
        <v>6489172.2949999999</v>
      </c>
      <c r="K929" s="3"/>
      <c r="L929" s="21">
        <v>5191337.84</v>
      </c>
      <c r="M929" s="5">
        <v>5191337.84</v>
      </c>
      <c r="N929" s="5">
        <f t="shared" si="53"/>
        <v>1297834.4550000001</v>
      </c>
      <c r="O929" s="5">
        <f t="shared" si="52"/>
        <v>0</v>
      </c>
      <c r="P929" s="3"/>
      <c r="Q929" s="6" t="s">
        <v>2295</v>
      </c>
      <c r="R929" s="61"/>
    </row>
    <row r="930" spans="1:18" s="44" customFormat="1" ht="45" outlineLevel="1" x14ac:dyDescent="0.25">
      <c r="A930" s="3" t="s">
        <v>30</v>
      </c>
      <c r="B930" s="2" t="s">
        <v>1960</v>
      </c>
      <c r="C930" s="6" t="s">
        <v>42</v>
      </c>
      <c r="D930" s="2" t="s">
        <v>2296</v>
      </c>
      <c r="E930" s="3" t="s">
        <v>29</v>
      </c>
      <c r="F930" s="2"/>
      <c r="G930" s="2" t="s">
        <v>2297</v>
      </c>
      <c r="H930" s="3"/>
      <c r="I930" s="5">
        <v>18432</v>
      </c>
      <c r="J930" s="5">
        <v>18432</v>
      </c>
      <c r="K930" s="3"/>
      <c r="L930" s="21">
        <v>18432</v>
      </c>
      <c r="M930" s="5">
        <v>18432</v>
      </c>
      <c r="N930" s="5">
        <f t="shared" si="53"/>
        <v>0</v>
      </c>
      <c r="O930" s="5">
        <f t="shared" si="52"/>
        <v>0</v>
      </c>
      <c r="P930" s="3"/>
      <c r="Q930" s="6" t="s">
        <v>2069</v>
      </c>
      <c r="R930" s="61"/>
    </row>
    <row r="931" spans="1:18" s="44" customFormat="1" ht="45" outlineLevel="1" x14ac:dyDescent="0.25">
      <c r="A931" s="3" t="s">
        <v>30</v>
      </c>
      <c r="B931" s="2" t="s">
        <v>1960</v>
      </c>
      <c r="C931" s="6" t="s">
        <v>42</v>
      </c>
      <c r="D931" s="2" t="s">
        <v>2298</v>
      </c>
      <c r="E931" s="3" t="s">
        <v>29</v>
      </c>
      <c r="F931" s="2"/>
      <c r="G931" s="2" t="s">
        <v>1965</v>
      </c>
      <c r="H931" s="3"/>
      <c r="I931" s="5">
        <v>32355.72</v>
      </c>
      <c r="J931" s="5">
        <v>32355.72</v>
      </c>
      <c r="K931" s="3"/>
      <c r="L931" s="9">
        <v>32355.72</v>
      </c>
      <c r="M931" s="5">
        <v>32355.72</v>
      </c>
      <c r="N931" s="5">
        <f t="shared" si="53"/>
        <v>0</v>
      </c>
      <c r="O931" s="5"/>
      <c r="P931" s="3"/>
      <c r="Q931" s="6" t="s">
        <v>2069</v>
      </c>
      <c r="R931" s="61"/>
    </row>
    <row r="932" spans="1:18" s="44" customFormat="1" ht="45" outlineLevel="1" x14ac:dyDescent="0.25">
      <c r="A932" s="3" t="s">
        <v>30</v>
      </c>
      <c r="B932" s="2" t="s">
        <v>2299</v>
      </c>
      <c r="C932" s="6" t="s">
        <v>42</v>
      </c>
      <c r="D932" s="2" t="s">
        <v>2300</v>
      </c>
      <c r="E932" s="3" t="s">
        <v>29</v>
      </c>
      <c r="F932" s="2"/>
      <c r="G932" s="2" t="s">
        <v>2301</v>
      </c>
      <c r="H932" s="3"/>
      <c r="I932" s="5">
        <v>7832934</v>
      </c>
      <c r="J932" s="5">
        <v>3916467</v>
      </c>
      <c r="K932" s="3"/>
      <c r="L932" s="9">
        <f>I932*40%</f>
        <v>3133173.6</v>
      </c>
      <c r="M932" s="5">
        <v>3133173.6</v>
      </c>
      <c r="N932" s="5">
        <f t="shared" si="53"/>
        <v>783293.39999999991</v>
      </c>
      <c r="O932" s="5">
        <f t="shared" si="52"/>
        <v>0</v>
      </c>
      <c r="P932" s="3"/>
      <c r="Q932" s="6" t="s">
        <v>2105</v>
      </c>
      <c r="R932" s="61"/>
    </row>
    <row r="933" spans="1:18" s="44" customFormat="1" ht="30" outlineLevel="1" x14ac:dyDescent="0.25">
      <c r="A933" s="3" t="s">
        <v>30</v>
      </c>
      <c r="B933" s="2" t="s">
        <v>2302</v>
      </c>
      <c r="C933" s="6" t="s">
        <v>42</v>
      </c>
      <c r="D933" s="2" t="s">
        <v>2303</v>
      </c>
      <c r="E933" s="3" t="s">
        <v>29</v>
      </c>
      <c r="F933" s="2"/>
      <c r="G933" s="2" t="s">
        <v>2304</v>
      </c>
      <c r="H933" s="3"/>
      <c r="I933" s="5">
        <v>18254790</v>
      </c>
      <c r="J933" s="5">
        <v>9127395</v>
      </c>
      <c r="K933" s="3"/>
      <c r="L933" s="9">
        <f>I933*40%</f>
        <v>7301916</v>
      </c>
      <c r="M933" s="5">
        <v>7301916</v>
      </c>
      <c r="N933" s="5">
        <f t="shared" si="53"/>
        <v>1825479</v>
      </c>
      <c r="O933" s="5">
        <f t="shared" si="52"/>
        <v>0</v>
      </c>
      <c r="P933" s="3"/>
      <c r="Q933" s="6" t="s">
        <v>2305</v>
      </c>
      <c r="R933" s="61"/>
    </row>
    <row r="934" spans="1:18" s="44" customFormat="1" ht="60" outlineLevel="1" x14ac:dyDescent="0.25">
      <c r="A934" s="3" t="s">
        <v>30</v>
      </c>
      <c r="B934" s="2" t="s">
        <v>2306</v>
      </c>
      <c r="C934" s="6" t="s">
        <v>42</v>
      </c>
      <c r="D934" s="2" t="s">
        <v>2307</v>
      </c>
      <c r="E934" s="3" t="s">
        <v>29</v>
      </c>
      <c r="F934" s="2"/>
      <c r="G934" s="2" t="s">
        <v>2308</v>
      </c>
      <c r="H934" s="3"/>
      <c r="I934" s="5">
        <v>48816</v>
      </c>
      <c r="J934" s="5">
        <v>24408</v>
      </c>
      <c r="K934" s="3"/>
      <c r="L934" s="9">
        <f>I934*40%</f>
        <v>19526.400000000001</v>
      </c>
      <c r="M934" s="5"/>
      <c r="N934" s="5">
        <f t="shared" si="53"/>
        <v>24408</v>
      </c>
      <c r="O934" s="5">
        <f t="shared" si="52"/>
        <v>19526.400000000001</v>
      </c>
      <c r="P934" s="3"/>
      <c r="Q934" s="8" t="s">
        <v>3004</v>
      </c>
      <c r="R934" s="61"/>
    </row>
    <row r="935" spans="1:18" s="44" customFormat="1" ht="60" outlineLevel="1" x14ac:dyDescent="0.25">
      <c r="A935" s="3" t="s">
        <v>30</v>
      </c>
      <c r="B935" s="2" t="s">
        <v>2306</v>
      </c>
      <c r="C935" s="6" t="s">
        <v>42</v>
      </c>
      <c r="D935" s="2" t="s">
        <v>2309</v>
      </c>
      <c r="E935" s="3" t="s">
        <v>29</v>
      </c>
      <c r="F935" s="2"/>
      <c r="G935" s="2" t="s">
        <v>2308</v>
      </c>
      <c r="H935" s="3"/>
      <c r="I935" s="5">
        <v>102960</v>
      </c>
      <c r="J935" s="5">
        <v>82368</v>
      </c>
      <c r="K935" s="3"/>
      <c r="L935" s="9">
        <f>I935*50%</f>
        <v>51480</v>
      </c>
      <c r="M935" s="5">
        <v>41184</v>
      </c>
      <c r="N935" s="5">
        <f t="shared" si="53"/>
        <v>41184</v>
      </c>
      <c r="O935" s="5">
        <f t="shared" si="52"/>
        <v>10296</v>
      </c>
      <c r="P935" s="3">
        <v>45538</v>
      </c>
      <c r="Q935" s="8" t="s">
        <v>2540</v>
      </c>
      <c r="R935" s="61"/>
    </row>
    <row r="936" spans="1:18" s="44" customFormat="1" ht="45" outlineLevel="1" x14ac:dyDescent="0.25">
      <c r="A936" s="3" t="s">
        <v>30</v>
      </c>
      <c r="B936" s="2" t="s">
        <v>2310</v>
      </c>
      <c r="C936" s="6" t="s">
        <v>42</v>
      </c>
      <c r="D936" s="2" t="s">
        <v>2311</v>
      </c>
      <c r="E936" s="3" t="s">
        <v>29</v>
      </c>
      <c r="F936" s="2"/>
      <c r="G936" s="2" t="s">
        <v>2312</v>
      </c>
      <c r="H936" s="3"/>
      <c r="I936" s="5">
        <v>112940.99999999999</v>
      </c>
      <c r="J936" s="5">
        <v>56470.499999999993</v>
      </c>
      <c r="K936" s="3"/>
      <c r="L936" s="9">
        <f>I936*40%</f>
        <v>45176.399999999994</v>
      </c>
      <c r="M936" s="5">
        <v>45176.4</v>
      </c>
      <c r="N936" s="5">
        <f t="shared" si="53"/>
        <v>11294.099999999991</v>
      </c>
      <c r="O936" s="5">
        <f t="shared" si="52"/>
        <v>0</v>
      </c>
      <c r="P936" s="3"/>
      <c r="Q936" s="6" t="s">
        <v>2313</v>
      </c>
      <c r="R936" s="61"/>
    </row>
    <row r="937" spans="1:18" s="44" customFormat="1" ht="30" outlineLevel="1" x14ac:dyDescent="0.25">
      <c r="A937" s="3" t="s">
        <v>30</v>
      </c>
      <c r="B937" s="2" t="s">
        <v>2314</v>
      </c>
      <c r="C937" s="6" t="s">
        <v>42</v>
      </c>
      <c r="D937" s="2" t="s">
        <v>2315</v>
      </c>
      <c r="E937" s="3" t="s">
        <v>29</v>
      </c>
      <c r="F937" s="2"/>
      <c r="G937" s="2" t="s">
        <v>2316</v>
      </c>
      <c r="H937" s="3"/>
      <c r="I937" s="5">
        <v>1389863.0400000003</v>
      </c>
      <c r="J937" s="5">
        <v>1111890.4320000003</v>
      </c>
      <c r="K937" s="3"/>
      <c r="L937" s="21">
        <v>1111890.43</v>
      </c>
      <c r="M937" s="5">
        <v>1111890.43</v>
      </c>
      <c r="N937" s="5">
        <f t="shared" si="53"/>
        <v>2.0000003278255463E-3</v>
      </c>
      <c r="O937" s="5">
        <f t="shared" si="52"/>
        <v>0</v>
      </c>
      <c r="P937" s="3"/>
      <c r="Q937" s="6" t="s">
        <v>2317</v>
      </c>
      <c r="R937" s="61"/>
    </row>
    <row r="938" spans="1:18" s="44" customFormat="1" ht="45" outlineLevel="1" x14ac:dyDescent="0.25">
      <c r="A938" s="3" t="s">
        <v>30</v>
      </c>
      <c r="B938" s="2" t="s">
        <v>2318</v>
      </c>
      <c r="C938" s="6" t="s">
        <v>42</v>
      </c>
      <c r="D938" s="2" t="s">
        <v>2319</v>
      </c>
      <c r="E938" s="3" t="s">
        <v>29</v>
      </c>
      <c r="F938" s="2"/>
      <c r="G938" s="2" t="s">
        <v>2320</v>
      </c>
      <c r="H938" s="3"/>
      <c r="I938" s="5">
        <v>816624</v>
      </c>
      <c r="J938" s="5">
        <v>680520</v>
      </c>
      <c r="K938" s="3"/>
      <c r="L938" s="9">
        <f>I938*40%</f>
        <v>326649.60000000003</v>
      </c>
      <c r="M938" s="5"/>
      <c r="N938" s="5">
        <f t="shared" si="53"/>
        <v>680520</v>
      </c>
      <c r="O938" s="5">
        <f t="shared" si="52"/>
        <v>326649.60000000003</v>
      </c>
      <c r="P938" s="3"/>
      <c r="Q938" s="6"/>
      <c r="R938" s="61"/>
    </row>
    <row r="939" spans="1:18" s="44" customFormat="1" ht="60" outlineLevel="1" x14ac:dyDescent="0.25">
      <c r="A939" s="3" t="s">
        <v>30</v>
      </c>
      <c r="B939" s="2" t="s">
        <v>2321</v>
      </c>
      <c r="C939" s="6" t="s">
        <v>42</v>
      </c>
      <c r="D939" s="2" t="s">
        <v>2322</v>
      </c>
      <c r="E939" s="3" t="s">
        <v>29</v>
      </c>
      <c r="F939" s="2"/>
      <c r="G939" s="2" t="s">
        <v>2323</v>
      </c>
      <c r="H939" s="3"/>
      <c r="I939" s="5">
        <v>259084557.36000001</v>
      </c>
      <c r="J939" s="5">
        <v>129542278.68000001</v>
      </c>
      <c r="K939" s="3"/>
      <c r="L939" s="21">
        <v>103633822.94</v>
      </c>
      <c r="M939" s="5">
        <v>103633822.94</v>
      </c>
      <c r="N939" s="5">
        <f t="shared" si="53"/>
        <v>25908455.74000001</v>
      </c>
      <c r="O939" s="5">
        <f t="shared" si="52"/>
        <v>0</v>
      </c>
      <c r="P939" s="3"/>
      <c r="Q939" s="6"/>
      <c r="R939" s="61"/>
    </row>
    <row r="940" spans="1:18" s="44" customFormat="1" ht="45" outlineLevel="1" x14ac:dyDescent="0.25">
      <c r="A940" s="3" t="s">
        <v>30</v>
      </c>
      <c r="B940" s="2" t="s">
        <v>2324</v>
      </c>
      <c r="C940" s="6" t="s">
        <v>42</v>
      </c>
      <c r="D940" s="2" t="s">
        <v>2325</v>
      </c>
      <c r="E940" s="3" t="s">
        <v>29</v>
      </c>
      <c r="F940" s="2"/>
      <c r="G940" s="2" t="s">
        <v>2326</v>
      </c>
      <c r="H940" s="3"/>
      <c r="I940" s="5">
        <v>8622.31</v>
      </c>
      <c r="J940" s="5">
        <v>8622.31</v>
      </c>
      <c r="K940" s="3"/>
      <c r="L940" s="21">
        <v>8622.31</v>
      </c>
      <c r="M940" s="5">
        <v>8622.31</v>
      </c>
      <c r="N940" s="5">
        <f t="shared" si="53"/>
        <v>0</v>
      </c>
      <c r="O940" s="5">
        <f t="shared" si="52"/>
        <v>0</v>
      </c>
      <c r="P940" s="3"/>
      <c r="Q940" s="6"/>
      <c r="R940" s="61"/>
    </row>
    <row r="941" spans="1:18" s="44" customFormat="1" ht="60" outlineLevel="1" x14ac:dyDescent="0.25">
      <c r="A941" s="3" t="s">
        <v>30</v>
      </c>
      <c r="B941" s="2" t="s">
        <v>2327</v>
      </c>
      <c r="C941" s="6" t="s">
        <v>42</v>
      </c>
      <c r="D941" s="2" t="s">
        <v>2328</v>
      </c>
      <c r="E941" s="3" t="s">
        <v>29</v>
      </c>
      <c r="F941" s="2"/>
      <c r="G941" s="2" t="s">
        <v>2329</v>
      </c>
      <c r="H941" s="3"/>
      <c r="I941" s="5">
        <v>135252</v>
      </c>
      <c r="J941" s="5">
        <v>108201.60000000001</v>
      </c>
      <c r="K941" s="3">
        <v>80</v>
      </c>
      <c r="L941" s="21">
        <v>108201.60000000001</v>
      </c>
      <c r="M941" s="5">
        <v>108201.60000000001</v>
      </c>
      <c r="N941" s="5"/>
      <c r="O941" s="5">
        <f t="shared" si="52"/>
        <v>0</v>
      </c>
      <c r="P941" s="3"/>
      <c r="Q941" s="6"/>
      <c r="R941" s="61"/>
    </row>
    <row r="942" spans="1:18" s="44" customFormat="1" ht="60" outlineLevel="1" x14ac:dyDescent="0.25">
      <c r="A942" s="3" t="s">
        <v>30</v>
      </c>
      <c r="B942" s="2" t="s">
        <v>1961</v>
      </c>
      <c r="C942" s="6" t="s">
        <v>42</v>
      </c>
      <c r="D942" s="2"/>
      <c r="E942" s="3" t="s">
        <v>1949</v>
      </c>
      <c r="F942" s="2"/>
      <c r="G942" s="2" t="s">
        <v>1966</v>
      </c>
      <c r="H942" s="3"/>
      <c r="I942" s="5">
        <v>12138872.220000001</v>
      </c>
      <c r="J942" s="5">
        <v>9711097.7760000005</v>
      </c>
      <c r="K942" s="3"/>
      <c r="L942" s="9">
        <f>I942*40%</f>
        <v>4855548.8880000003</v>
      </c>
      <c r="M942" s="5"/>
      <c r="N942" s="5">
        <f>J942-M942</f>
        <v>9711097.7760000005</v>
      </c>
      <c r="O942" s="5">
        <f t="shared" si="52"/>
        <v>4855548.8880000003</v>
      </c>
      <c r="P942" s="1">
        <v>45548</v>
      </c>
      <c r="Q942" s="8" t="s">
        <v>3005</v>
      </c>
      <c r="R942" s="61"/>
    </row>
    <row r="943" spans="1:18" s="44" customFormat="1" ht="30" outlineLevel="1" x14ac:dyDescent="0.25">
      <c r="A943" s="3" t="s">
        <v>30</v>
      </c>
      <c r="B943" s="2" t="s">
        <v>2330</v>
      </c>
      <c r="C943" s="6" t="s">
        <v>42</v>
      </c>
      <c r="D943" s="2" t="s">
        <v>2331</v>
      </c>
      <c r="E943" s="3" t="s">
        <v>29</v>
      </c>
      <c r="F943" s="2"/>
      <c r="G943" s="2" t="s">
        <v>2332</v>
      </c>
      <c r="H943" s="3"/>
      <c r="I943" s="5">
        <v>2318310.38</v>
      </c>
      <c r="J943" s="5">
        <v>1159155.19</v>
      </c>
      <c r="K943" s="3">
        <v>80</v>
      </c>
      <c r="L943" s="9">
        <f>I943*40%</f>
        <v>927324.152</v>
      </c>
      <c r="M943" s="5"/>
      <c r="N943" s="5">
        <f>J943-M943</f>
        <v>1159155.19</v>
      </c>
      <c r="O943" s="5">
        <f t="shared" si="52"/>
        <v>927324.152</v>
      </c>
      <c r="P943" s="1">
        <v>45548</v>
      </c>
      <c r="Q943" s="8" t="s">
        <v>2333</v>
      </c>
      <c r="R943" s="61"/>
    </row>
    <row r="944" spans="1:18" s="44" customFormat="1" ht="30" outlineLevel="1" x14ac:dyDescent="0.25">
      <c r="A944" s="3" t="s">
        <v>30</v>
      </c>
      <c r="B944" s="2" t="s">
        <v>2334</v>
      </c>
      <c r="C944" s="6" t="s">
        <v>42</v>
      </c>
      <c r="D944" s="2" t="s">
        <v>2335</v>
      </c>
      <c r="E944" s="3" t="s">
        <v>29</v>
      </c>
      <c r="F944" s="2"/>
      <c r="G944" s="2" t="s">
        <v>2336</v>
      </c>
      <c r="H944" s="3"/>
      <c r="I944" s="5">
        <v>7588254.5999999996</v>
      </c>
      <c r="J944" s="5">
        <f>I944*0.8</f>
        <v>6070603.6799999997</v>
      </c>
      <c r="K944" s="3">
        <v>80</v>
      </c>
      <c r="L944" s="9">
        <f>I944*40%</f>
        <v>3035301.84</v>
      </c>
      <c r="M944" s="5">
        <v>3035301.84</v>
      </c>
      <c r="N944" s="5">
        <f>J944-M944</f>
        <v>3035301.84</v>
      </c>
      <c r="O944" s="5">
        <f t="shared" si="52"/>
        <v>0</v>
      </c>
      <c r="P944" s="3"/>
      <c r="Q944" s="6"/>
      <c r="R944" s="61"/>
    </row>
    <row r="945" spans="1:18" s="44" customFormat="1" ht="45" outlineLevel="1" x14ac:dyDescent="0.25">
      <c r="A945" s="3" t="s">
        <v>30</v>
      </c>
      <c r="B945" s="2" t="s">
        <v>2337</v>
      </c>
      <c r="C945" s="6" t="s">
        <v>42</v>
      </c>
      <c r="D945" s="2" t="s">
        <v>2338</v>
      </c>
      <c r="E945" s="3" t="s">
        <v>29</v>
      </c>
      <c r="F945" s="2"/>
      <c r="G945" s="2" t="s">
        <v>2339</v>
      </c>
      <c r="H945" s="3"/>
      <c r="I945" s="5">
        <v>1461798</v>
      </c>
      <c r="J945" s="5">
        <v>1169438.4000000001</v>
      </c>
      <c r="K945" s="3"/>
      <c r="L945" s="21">
        <v>1169438.3999999999</v>
      </c>
      <c r="M945" s="5">
        <v>1169438.3999999999</v>
      </c>
      <c r="N945" s="5">
        <f>J945-M945</f>
        <v>0</v>
      </c>
      <c r="O945" s="5">
        <f t="shared" si="52"/>
        <v>0</v>
      </c>
      <c r="P945" s="3"/>
      <c r="Q945" s="6"/>
      <c r="R945" s="61"/>
    </row>
    <row r="946" spans="1:18" s="44" customFormat="1" ht="30" outlineLevel="1" x14ac:dyDescent="0.25">
      <c r="A946" s="3" t="s">
        <v>30</v>
      </c>
      <c r="B946" s="2" t="s">
        <v>2340</v>
      </c>
      <c r="C946" s="6" t="s">
        <v>42</v>
      </c>
      <c r="D946" s="2" t="s">
        <v>2341</v>
      </c>
      <c r="E946" s="3" t="s">
        <v>29</v>
      </c>
      <c r="F946" s="2"/>
      <c r="G946" s="2" t="s">
        <v>2342</v>
      </c>
      <c r="H946" s="3"/>
      <c r="I946" s="5">
        <v>1306242</v>
      </c>
      <c r="J946" s="5">
        <v>653121</v>
      </c>
      <c r="K946" s="3"/>
      <c r="L946" s="21">
        <v>653121</v>
      </c>
      <c r="M946" s="5">
        <v>653121</v>
      </c>
      <c r="N946" s="5">
        <f>J946-M946</f>
        <v>0</v>
      </c>
      <c r="O946" s="5">
        <f t="shared" si="52"/>
        <v>0</v>
      </c>
      <c r="P946" s="3"/>
      <c r="Q946" s="6"/>
      <c r="R946" s="61"/>
    </row>
    <row r="947" spans="1:18" s="44" customFormat="1" ht="30" outlineLevel="1" x14ac:dyDescent="0.25">
      <c r="A947" s="3" t="s">
        <v>30</v>
      </c>
      <c r="B947" s="2" t="s">
        <v>1962</v>
      </c>
      <c r="C947" s="6" t="s">
        <v>42</v>
      </c>
      <c r="D947" s="2" t="s">
        <v>2343</v>
      </c>
      <c r="E947" s="3" t="s">
        <v>29</v>
      </c>
      <c r="F947" s="2"/>
      <c r="G947" s="2" t="s">
        <v>1967</v>
      </c>
      <c r="H947" s="3"/>
      <c r="I947" s="5">
        <v>19012500</v>
      </c>
      <c r="J947" s="5">
        <v>15210000</v>
      </c>
      <c r="K947" s="21">
        <v>80</v>
      </c>
      <c r="L947" s="9">
        <f>I947*40%</f>
        <v>7605000</v>
      </c>
      <c r="M947" s="5">
        <v>7605000</v>
      </c>
      <c r="N947" s="5">
        <v>15210000</v>
      </c>
      <c r="O947" s="5">
        <f t="shared" si="52"/>
        <v>0</v>
      </c>
      <c r="P947" s="84">
        <v>45538</v>
      </c>
      <c r="Q947" s="6" t="s">
        <v>3006</v>
      </c>
      <c r="R947" s="61"/>
    </row>
    <row r="948" spans="1:18" s="44" customFormat="1" ht="30" outlineLevel="1" x14ac:dyDescent="0.25">
      <c r="A948" s="3" t="s">
        <v>30</v>
      </c>
      <c r="B948" s="2" t="s">
        <v>2344</v>
      </c>
      <c r="C948" s="6" t="s">
        <v>42</v>
      </c>
      <c r="D948" s="2" t="s">
        <v>2345</v>
      </c>
      <c r="E948" s="3" t="s">
        <v>29</v>
      </c>
      <c r="F948" s="2"/>
      <c r="G948" s="2" t="s">
        <v>2346</v>
      </c>
      <c r="H948" s="3"/>
      <c r="I948" s="5">
        <v>1007491.8500000001</v>
      </c>
      <c r="J948" s="5">
        <v>503745.92500000005</v>
      </c>
      <c r="K948" s="3"/>
      <c r="L948" s="21">
        <v>401878.3</v>
      </c>
      <c r="M948" s="5">
        <v>401878.3</v>
      </c>
      <c r="N948" s="5">
        <f t="shared" ref="N948:N953" si="55">J948-M948</f>
        <v>101867.62500000006</v>
      </c>
      <c r="O948" s="5">
        <f t="shared" si="52"/>
        <v>0</v>
      </c>
      <c r="P948" s="3"/>
      <c r="Q948" s="8" t="s">
        <v>2347</v>
      </c>
      <c r="R948" s="61"/>
    </row>
    <row r="949" spans="1:18" s="44" customFormat="1" ht="30" outlineLevel="1" x14ac:dyDescent="0.25">
      <c r="A949" s="3" t="s">
        <v>30</v>
      </c>
      <c r="B949" s="2" t="s">
        <v>2348</v>
      </c>
      <c r="C949" s="6" t="s">
        <v>42</v>
      </c>
      <c r="D949" s="2" t="s">
        <v>2349</v>
      </c>
      <c r="E949" s="3" t="s">
        <v>29</v>
      </c>
      <c r="F949" s="2"/>
      <c r="G949" s="2" t="s">
        <v>2350</v>
      </c>
      <c r="H949" s="3"/>
      <c r="I949" s="5">
        <v>38811654.43</v>
      </c>
      <c r="J949" s="5">
        <v>31049323.544</v>
      </c>
      <c r="K949" s="3"/>
      <c r="L949" s="9">
        <f t="shared" ref="L949:L954" si="56">I949*40%</f>
        <v>15524661.772</v>
      </c>
      <c r="M949" s="5">
        <v>15524661.77</v>
      </c>
      <c r="N949" s="5">
        <f t="shared" si="55"/>
        <v>15524661.774</v>
      </c>
      <c r="O949" s="5">
        <f t="shared" si="52"/>
        <v>2.0000003278255463E-3</v>
      </c>
      <c r="P949" s="3"/>
      <c r="Q949" s="6" t="s">
        <v>1982</v>
      </c>
      <c r="R949" s="61"/>
    </row>
    <row r="950" spans="1:18" s="44" customFormat="1" ht="30" outlineLevel="1" x14ac:dyDescent="0.25">
      <c r="A950" s="3" t="s">
        <v>30</v>
      </c>
      <c r="B950" s="2" t="s">
        <v>2351</v>
      </c>
      <c r="C950" s="6" t="s">
        <v>42</v>
      </c>
      <c r="D950" s="2" t="s">
        <v>2352</v>
      </c>
      <c r="E950" s="3" t="s">
        <v>29</v>
      </c>
      <c r="F950" s="2"/>
      <c r="G950" s="2" t="s">
        <v>2353</v>
      </c>
      <c r="H950" s="3"/>
      <c r="I950" s="5">
        <v>66611302.560000002</v>
      </c>
      <c r="J950" s="5">
        <v>33305651.280000001</v>
      </c>
      <c r="K950" s="3"/>
      <c r="L950" s="9">
        <f t="shared" si="56"/>
        <v>26644521.024000004</v>
      </c>
      <c r="M950" s="5">
        <v>26644521.02</v>
      </c>
      <c r="N950" s="5">
        <f t="shared" si="55"/>
        <v>6661130.2600000016</v>
      </c>
      <c r="O950" s="5">
        <f t="shared" ref="O950:O956" si="57">L950-M950</f>
        <v>4.000004380941391E-3</v>
      </c>
      <c r="P950" s="3"/>
      <c r="Q950" s="6" t="s">
        <v>1982</v>
      </c>
      <c r="R950" s="61"/>
    </row>
    <row r="951" spans="1:18" s="44" customFormat="1" ht="30" outlineLevel="1" x14ac:dyDescent="0.25">
      <c r="A951" s="3" t="s">
        <v>30</v>
      </c>
      <c r="B951" s="2" t="s">
        <v>2354</v>
      </c>
      <c r="C951" s="6" t="s">
        <v>42</v>
      </c>
      <c r="D951" s="2" t="s">
        <v>418</v>
      </c>
      <c r="E951" s="3" t="s">
        <v>29</v>
      </c>
      <c r="F951" s="2"/>
      <c r="G951" s="2" t="s">
        <v>2355</v>
      </c>
      <c r="H951" s="3"/>
      <c r="I951" s="5">
        <v>38509210.980000004</v>
      </c>
      <c r="J951" s="5">
        <v>30807368.784000006</v>
      </c>
      <c r="K951" s="3"/>
      <c r="L951" s="9">
        <f t="shared" si="56"/>
        <v>15403684.392000003</v>
      </c>
      <c r="M951" s="5">
        <v>15403684.390000001</v>
      </c>
      <c r="N951" s="5">
        <f t="shared" si="55"/>
        <v>15403684.394000005</v>
      </c>
      <c r="O951" s="5">
        <f t="shared" si="57"/>
        <v>2.0000021904706955E-3</v>
      </c>
      <c r="P951" s="3"/>
      <c r="Q951" s="6" t="s">
        <v>1982</v>
      </c>
      <c r="R951" s="61"/>
    </row>
    <row r="952" spans="1:18" s="44" customFormat="1" ht="30" outlineLevel="1" x14ac:dyDescent="0.25">
      <c r="A952" s="3" t="s">
        <v>30</v>
      </c>
      <c r="B952" s="2" t="s">
        <v>2356</v>
      </c>
      <c r="C952" s="6" t="s">
        <v>42</v>
      </c>
      <c r="D952" s="2" t="s">
        <v>952</v>
      </c>
      <c r="E952" s="3" t="s">
        <v>29</v>
      </c>
      <c r="F952" s="2"/>
      <c r="G952" s="2" t="s">
        <v>2357</v>
      </c>
      <c r="H952" s="3"/>
      <c r="I952" s="5">
        <v>588727.43999999994</v>
      </c>
      <c r="J952" s="5">
        <v>294363.71999999997</v>
      </c>
      <c r="K952" s="3"/>
      <c r="L952" s="9">
        <f t="shared" si="56"/>
        <v>235490.976</v>
      </c>
      <c r="M952" s="5"/>
      <c r="N952" s="5">
        <f t="shared" si="55"/>
        <v>294363.71999999997</v>
      </c>
      <c r="O952" s="5">
        <f t="shared" si="57"/>
        <v>235490.976</v>
      </c>
      <c r="P952" s="3" t="s">
        <v>2044</v>
      </c>
      <c r="Q952" s="6" t="s">
        <v>2740</v>
      </c>
      <c r="R952" s="61"/>
    </row>
    <row r="953" spans="1:18" s="44" customFormat="1" ht="150" outlineLevel="1" x14ac:dyDescent="0.25">
      <c r="A953" s="3" t="s">
        <v>30</v>
      </c>
      <c r="B953" s="2" t="s">
        <v>2358</v>
      </c>
      <c r="C953" s="6" t="s">
        <v>42</v>
      </c>
      <c r="D953" s="2" t="s">
        <v>2359</v>
      </c>
      <c r="E953" s="3" t="s">
        <v>29</v>
      </c>
      <c r="F953" s="2"/>
      <c r="G953" s="2" t="s">
        <v>2360</v>
      </c>
      <c r="H953" s="3"/>
      <c r="I953" s="5">
        <v>80709312.950000003</v>
      </c>
      <c r="J953" s="5">
        <f>I953/2</f>
        <v>40354656.475000001</v>
      </c>
      <c r="K953" s="3"/>
      <c r="L953" s="9">
        <f t="shared" si="56"/>
        <v>32283725.180000003</v>
      </c>
      <c r="M953" s="5">
        <v>32281862.620000001</v>
      </c>
      <c r="N953" s="5">
        <f t="shared" si="55"/>
        <v>8072793.8550000004</v>
      </c>
      <c r="O953" s="5">
        <f t="shared" si="57"/>
        <v>1862.5600000023842</v>
      </c>
      <c r="P953" s="21"/>
      <c r="Q953" s="8" t="s">
        <v>2361</v>
      </c>
      <c r="R953" s="61"/>
    </row>
    <row r="954" spans="1:18" s="44" customFormat="1" ht="45" outlineLevel="1" x14ac:dyDescent="0.25">
      <c r="A954" s="3" t="s">
        <v>30</v>
      </c>
      <c r="B954" s="2" t="s">
        <v>2362</v>
      </c>
      <c r="C954" s="6" t="s">
        <v>42</v>
      </c>
      <c r="D954" s="2" t="s">
        <v>2363</v>
      </c>
      <c r="E954" s="3" t="s">
        <v>29</v>
      </c>
      <c r="F954" s="2" t="s">
        <v>911</v>
      </c>
      <c r="G954" s="2" t="s">
        <v>2364</v>
      </c>
      <c r="H954" s="3"/>
      <c r="I954" s="5">
        <v>988788.9</v>
      </c>
      <c r="J954" s="5">
        <v>406475.4</v>
      </c>
      <c r="K954" s="3">
        <v>45</v>
      </c>
      <c r="L954" s="9">
        <f t="shared" si="56"/>
        <v>395515.56000000006</v>
      </c>
      <c r="M954" s="5">
        <v>0</v>
      </c>
      <c r="N954" s="5">
        <v>406475.4</v>
      </c>
      <c r="O954" s="5">
        <f t="shared" si="57"/>
        <v>395515.56000000006</v>
      </c>
      <c r="P954" s="3" t="s">
        <v>2044</v>
      </c>
      <c r="Q954" s="6" t="s">
        <v>2741</v>
      </c>
      <c r="R954" s="61"/>
    </row>
    <row r="955" spans="1:18" s="44" customFormat="1" ht="45" outlineLevel="1" x14ac:dyDescent="0.25">
      <c r="A955" s="3" t="s">
        <v>30</v>
      </c>
      <c r="B955" s="2" t="s">
        <v>2365</v>
      </c>
      <c r="C955" s="6" t="s">
        <v>42</v>
      </c>
      <c r="D955" s="2" t="s">
        <v>2366</v>
      </c>
      <c r="E955" s="3" t="s">
        <v>29</v>
      </c>
      <c r="F955" s="2" t="s">
        <v>80</v>
      </c>
      <c r="G955" s="2" t="s">
        <v>2367</v>
      </c>
      <c r="H955" s="3" t="s">
        <v>215</v>
      </c>
      <c r="I955" s="5">
        <v>193292660.16</v>
      </c>
      <c r="J955" s="5">
        <v>49662212.399999999</v>
      </c>
      <c r="K955" s="3">
        <v>25</v>
      </c>
      <c r="L955" s="21">
        <v>49662212.399999999</v>
      </c>
      <c r="M955" s="5">
        <v>49662212.399999999</v>
      </c>
      <c r="N955" s="5">
        <f>J955-M955</f>
        <v>0</v>
      </c>
      <c r="O955" s="5">
        <f t="shared" si="57"/>
        <v>0</v>
      </c>
      <c r="P955" s="3"/>
      <c r="Q955" s="6" t="s">
        <v>2103</v>
      </c>
      <c r="R955" s="61"/>
    </row>
    <row r="956" spans="1:18" s="44" customFormat="1" ht="60" outlineLevel="1" x14ac:dyDescent="0.25">
      <c r="A956" s="3" t="s">
        <v>30</v>
      </c>
      <c r="B956" s="2" t="s">
        <v>2368</v>
      </c>
      <c r="C956" s="6" t="s">
        <v>42</v>
      </c>
      <c r="D956" s="2" t="s">
        <v>2369</v>
      </c>
      <c r="E956" s="3" t="s">
        <v>29</v>
      </c>
      <c r="F956" s="2"/>
      <c r="G956" s="2" t="s">
        <v>2370</v>
      </c>
      <c r="H956" s="3"/>
      <c r="I956" s="5">
        <v>18882</v>
      </c>
      <c r="J956" s="5">
        <v>18882</v>
      </c>
      <c r="K956" s="3"/>
      <c r="L956" s="21">
        <v>18882</v>
      </c>
      <c r="M956" s="5">
        <v>18882</v>
      </c>
      <c r="N956" s="5">
        <f>J956-M956</f>
        <v>0</v>
      </c>
      <c r="O956" s="5">
        <f t="shared" si="57"/>
        <v>0</v>
      </c>
      <c r="P956" s="118" t="s">
        <v>2497</v>
      </c>
      <c r="Q956" s="8" t="s">
        <v>2596</v>
      </c>
      <c r="R956" s="61"/>
    </row>
    <row r="957" spans="1:18" s="44" customFormat="1" ht="18.75" customHeight="1" x14ac:dyDescent="0.25">
      <c r="A957" s="155"/>
      <c r="B957" s="156"/>
      <c r="C957" s="166" t="s">
        <v>2528</v>
      </c>
      <c r="D957" s="68"/>
      <c r="E957" s="155"/>
      <c r="F957" s="68"/>
      <c r="G957" s="156"/>
      <c r="H957" s="10"/>
      <c r="I957" s="106">
        <f t="shared" ref="I957:O957" si="58">SUBTOTAL(9,I886:I956)</f>
        <v>2440112950.1424999</v>
      </c>
      <c r="J957" s="106">
        <f t="shared" si="58"/>
        <v>1585193037.84725</v>
      </c>
      <c r="K957" s="109">
        <f t="shared" si="58"/>
        <v>470</v>
      </c>
      <c r="L957" s="165">
        <f t="shared" si="58"/>
        <v>1252601450.5680001</v>
      </c>
      <c r="M957" s="164">
        <f t="shared" si="58"/>
        <v>1176852690.3499999</v>
      </c>
      <c r="N957" s="106">
        <f t="shared" si="58"/>
        <v>415945347.50124997</v>
      </c>
      <c r="O957" s="164">
        <f t="shared" si="58"/>
        <v>75748760.217999995</v>
      </c>
      <c r="P957" s="10"/>
      <c r="Q957" s="104"/>
      <c r="R957" s="61"/>
    </row>
    <row r="958" spans="1:18" s="44" customFormat="1" x14ac:dyDescent="0.25">
      <c r="A958" s="171" t="s">
        <v>30</v>
      </c>
      <c r="B958" s="174"/>
      <c r="C958" s="182" t="s">
        <v>1943</v>
      </c>
      <c r="D958" s="68"/>
      <c r="E958" s="176"/>
      <c r="F958" s="10"/>
      <c r="G958" s="174"/>
      <c r="H958" s="10"/>
      <c r="I958" s="69">
        <f t="shared" ref="I958:O958" si="59">I957+I885+I879</f>
        <v>2481513251.7621002</v>
      </c>
      <c r="J958" s="69">
        <f t="shared" si="59"/>
        <v>1621067632.1568499</v>
      </c>
      <c r="K958" s="69">
        <f t="shared" si="59"/>
        <v>1100</v>
      </c>
      <c r="L958" s="183">
        <f t="shared" si="59"/>
        <v>1277439789.5538399</v>
      </c>
      <c r="M958" s="177">
        <f t="shared" si="59"/>
        <v>1186432334.54</v>
      </c>
      <c r="N958" s="69">
        <f t="shared" si="59"/>
        <v>442240297.62084997</v>
      </c>
      <c r="O958" s="177">
        <f t="shared" si="59"/>
        <v>91007455.01383999</v>
      </c>
      <c r="P958" s="10"/>
      <c r="Q958" s="104"/>
      <c r="R958" s="61"/>
    </row>
    <row r="959" spans="1:18" s="53" customFormat="1" ht="44.25" customHeight="1" outlineLevel="2" x14ac:dyDescent="0.25">
      <c r="A959" s="12" t="s">
        <v>35</v>
      </c>
      <c r="B959" s="39" t="s">
        <v>130</v>
      </c>
      <c r="C959" s="12" t="s">
        <v>49</v>
      </c>
      <c r="D959" s="39" t="s">
        <v>131</v>
      </c>
      <c r="E959" s="12" t="s">
        <v>29</v>
      </c>
      <c r="F959" s="39" t="s">
        <v>132</v>
      </c>
      <c r="G959" s="39" t="s">
        <v>133</v>
      </c>
      <c r="H959" s="12" t="s">
        <v>38</v>
      </c>
      <c r="I959" s="57">
        <v>688050120.71000004</v>
      </c>
      <c r="J959" s="57">
        <f>I959*0.8</f>
        <v>550440096.56800008</v>
      </c>
      <c r="K959" s="12">
        <v>35</v>
      </c>
      <c r="L959" s="119">
        <f>I959*40%</f>
        <v>275220048.28400004</v>
      </c>
      <c r="M959" s="120">
        <v>275220048.27999997</v>
      </c>
      <c r="N959" s="57">
        <f t="shared" ref="N959:N966" si="60">J959-M959</f>
        <v>275220048.28800011</v>
      </c>
      <c r="O959" s="120">
        <f>L959-M959</f>
        <v>4.0000677108764648E-3</v>
      </c>
      <c r="P959" s="121"/>
      <c r="Q959" s="122" t="s">
        <v>2537</v>
      </c>
      <c r="R959" s="144"/>
    </row>
    <row r="960" spans="1:18" s="44" customFormat="1" ht="94.5" customHeight="1" outlineLevel="2" x14ac:dyDescent="0.25">
      <c r="A960" s="12" t="s">
        <v>35</v>
      </c>
      <c r="B960" s="39" t="s">
        <v>265</v>
      </c>
      <c r="C960" s="12" t="s">
        <v>49</v>
      </c>
      <c r="D960" s="39" t="s">
        <v>268</v>
      </c>
      <c r="E960" s="12" t="s">
        <v>1949</v>
      </c>
      <c r="F960" s="39" t="s">
        <v>72</v>
      </c>
      <c r="G960" s="39" t="s">
        <v>66</v>
      </c>
      <c r="H960" s="12" t="s">
        <v>38</v>
      </c>
      <c r="I960" s="57">
        <v>2950000</v>
      </c>
      <c r="J960" s="57">
        <v>2950000</v>
      </c>
      <c r="K960" s="12">
        <v>100</v>
      </c>
      <c r="L960" s="45">
        <f t="shared" ref="L960:L966" si="61">I960*40%</f>
        <v>1180000</v>
      </c>
      <c r="M960" s="57"/>
      <c r="N960" s="57">
        <f t="shared" si="60"/>
        <v>2950000</v>
      </c>
      <c r="O960" s="120">
        <f t="shared" ref="O960:O966" si="62">L960-M960</f>
        <v>1180000</v>
      </c>
      <c r="P960" s="12"/>
      <c r="Q960" s="39" t="s">
        <v>2900</v>
      </c>
      <c r="R960" s="61"/>
    </row>
    <row r="961" spans="1:18" s="44" customFormat="1" ht="62.25" customHeight="1" outlineLevel="2" x14ac:dyDescent="0.25">
      <c r="A961" s="12" t="s">
        <v>35</v>
      </c>
      <c r="B961" s="39" t="s">
        <v>622</v>
      </c>
      <c r="C961" s="12" t="s">
        <v>49</v>
      </c>
      <c r="D961" s="39" t="s">
        <v>627</v>
      </c>
      <c r="E961" s="12" t="s">
        <v>1949</v>
      </c>
      <c r="F961" s="39" t="s">
        <v>72</v>
      </c>
      <c r="G961" s="39" t="s">
        <v>623</v>
      </c>
      <c r="H961" s="12" t="s">
        <v>38</v>
      </c>
      <c r="I961" s="57">
        <v>2000000</v>
      </c>
      <c r="J961" s="57">
        <v>2000000</v>
      </c>
      <c r="K961" s="12">
        <v>100</v>
      </c>
      <c r="L961" s="45">
        <f t="shared" si="61"/>
        <v>800000</v>
      </c>
      <c r="M961" s="57"/>
      <c r="N961" s="57">
        <f t="shared" si="60"/>
        <v>2000000</v>
      </c>
      <c r="O961" s="120">
        <f t="shared" si="62"/>
        <v>800000</v>
      </c>
      <c r="P961" s="12"/>
      <c r="Q961" s="39" t="s">
        <v>2901</v>
      </c>
      <c r="R961" s="61"/>
    </row>
    <row r="962" spans="1:18" s="44" customFormat="1" ht="183.75" customHeight="1" outlineLevel="2" x14ac:dyDescent="0.25">
      <c r="A962" s="12" t="s">
        <v>35</v>
      </c>
      <c r="B962" s="39" t="s">
        <v>710</v>
      </c>
      <c r="C962" s="12" t="s">
        <v>49</v>
      </c>
      <c r="D962" s="39" t="s">
        <v>717</v>
      </c>
      <c r="E962" s="12" t="s">
        <v>1949</v>
      </c>
      <c r="F962" s="39" t="s">
        <v>72</v>
      </c>
      <c r="G962" s="39" t="s">
        <v>718</v>
      </c>
      <c r="H962" s="12" t="s">
        <v>38</v>
      </c>
      <c r="I962" s="57">
        <v>227019240</v>
      </c>
      <c r="J962" s="57">
        <v>227019240</v>
      </c>
      <c r="K962" s="12">
        <v>100</v>
      </c>
      <c r="L962" s="45">
        <f t="shared" si="61"/>
        <v>90807696</v>
      </c>
      <c r="M962" s="57"/>
      <c r="N962" s="57">
        <f t="shared" si="60"/>
        <v>227019240</v>
      </c>
      <c r="O962" s="120">
        <f t="shared" si="62"/>
        <v>90807696</v>
      </c>
      <c r="P962" s="12"/>
      <c r="Q962" s="39" t="s">
        <v>2903</v>
      </c>
      <c r="R962" s="61"/>
    </row>
    <row r="963" spans="1:18" s="53" customFormat="1" ht="110.25" customHeight="1" outlineLevel="2" x14ac:dyDescent="0.25">
      <c r="A963" s="12" t="s">
        <v>35</v>
      </c>
      <c r="B963" s="39" t="s">
        <v>1099</v>
      </c>
      <c r="C963" s="12" t="s">
        <v>49</v>
      </c>
      <c r="D963" s="39" t="s">
        <v>1101</v>
      </c>
      <c r="E963" s="12" t="s">
        <v>1949</v>
      </c>
      <c r="F963" s="39" t="s">
        <v>72</v>
      </c>
      <c r="G963" s="39" t="s">
        <v>1100</v>
      </c>
      <c r="H963" s="12" t="s">
        <v>38</v>
      </c>
      <c r="I963" s="57">
        <v>6500000</v>
      </c>
      <c r="J963" s="57">
        <v>6500000</v>
      </c>
      <c r="K963" s="12">
        <v>100</v>
      </c>
      <c r="L963" s="45">
        <f t="shared" si="61"/>
        <v>2600000</v>
      </c>
      <c r="M963" s="57"/>
      <c r="N963" s="57">
        <f t="shared" si="60"/>
        <v>6500000</v>
      </c>
      <c r="O963" s="120">
        <f t="shared" si="62"/>
        <v>2600000</v>
      </c>
      <c r="P963" s="12"/>
      <c r="Q963" s="39" t="s">
        <v>2899</v>
      </c>
      <c r="R963" s="144"/>
    </row>
    <row r="964" spans="1:18" s="44" customFormat="1" ht="32.25" customHeight="1" outlineLevel="2" x14ac:dyDescent="0.25">
      <c r="A964" s="12" t="s">
        <v>35</v>
      </c>
      <c r="B964" s="39" t="s">
        <v>1315</v>
      </c>
      <c r="C964" s="12" t="s">
        <v>49</v>
      </c>
      <c r="D964" s="39"/>
      <c r="E964" s="12" t="s">
        <v>1949</v>
      </c>
      <c r="F964" s="39"/>
      <c r="G964" s="39" t="s">
        <v>2555</v>
      </c>
      <c r="H964" s="12"/>
      <c r="I964" s="57">
        <v>500000</v>
      </c>
      <c r="J964" s="57">
        <v>500000</v>
      </c>
      <c r="K964" s="12"/>
      <c r="L964" s="45">
        <v>200000</v>
      </c>
      <c r="M964" s="57"/>
      <c r="N964" s="57">
        <f t="shared" si="60"/>
        <v>500000</v>
      </c>
      <c r="O964" s="120">
        <f t="shared" si="62"/>
        <v>200000</v>
      </c>
      <c r="P964" s="12"/>
      <c r="Q964" s="12" t="s">
        <v>2477</v>
      </c>
      <c r="R964" s="61"/>
    </row>
    <row r="965" spans="1:18" s="44" customFormat="1" ht="32.25" customHeight="1" outlineLevel="2" x14ac:dyDescent="0.25">
      <c r="A965" s="12" t="s">
        <v>35</v>
      </c>
      <c r="B965" s="39" t="s">
        <v>1315</v>
      </c>
      <c r="C965" s="12" t="s">
        <v>49</v>
      </c>
      <c r="D965" s="39"/>
      <c r="E965" s="12" t="s">
        <v>1949</v>
      </c>
      <c r="F965" s="39"/>
      <c r="G965" s="39" t="s">
        <v>2556</v>
      </c>
      <c r="H965" s="12"/>
      <c r="I965" s="57">
        <v>85000000</v>
      </c>
      <c r="J965" s="57">
        <v>85000000</v>
      </c>
      <c r="K965" s="12"/>
      <c r="L965" s="45">
        <v>34000000</v>
      </c>
      <c r="M965" s="57"/>
      <c r="N965" s="57">
        <f t="shared" si="60"/>
        <v>85000000</v>
      </c>
      <c r="O965" s="120">
        <f t="shared" si="62"/>
        <v>34000000</v>
      </c>
      <c r="P965" s="12"/>
      <c r="Q965" s="12" t="s">
        <v>2477</v>
      </c>
      <c r="R965" s="61"/>
    </row>
    <row r="966" spans="1:18" s="44" customFormat="1" ht="32.25" customHeight="1" outlineLevel="2" x14ac:dyDescent="0.25">
      <c r="A966" s="12" t="s">
        <v>35</v>
      </c>
      <c r="B966" s="39" t="s">
        <v>1165</v>
      </c>
      <c r="C966" s="12" t="s">
        <v>49</v>
      </c>
      <c r="D966" s="39" t="s">
        <v>1169</v>
      </c>
      <c r="E966" s="12" t="s">
        <v>1949</v>
      </c>
      <c r="F966" s="39" t="s">
        <v>72</v>
      </c>
      <c r="G966" s="39" t="s">
        <v>266</v>
      </c>
      <c r="H966" s="12" t="s">
        <v>38</v>
      </c>
      <c r="I966" s="57">
        <v>14200000</v>
      </c>
      <c r="J966" s="57">
        <v>14200000</v>
      </c>
      <c r="K966" s="12">
        <v>100</v>
      </c>
      <c r="L966" s="45">
        <f t="shared" si="61"/>
        <v>5680000</v>
      </c>
      <c r="M966" s="57"/>
      <c r="N966" s="57">
        <f t="shared" si="60"/>
        <v>14200000</v>
      </c>
      <c r="O966" s="120">
        <f t="shared" si="62"/>
        <v>5680000</v>
      </c>
      <c r="P966" s="12"/>
      <c r="Q966" s="39" t="s">
        <v>2554</v>
      </c>
      <c r="R966" s="61"/>
    </row>
    <row r="967" spans="1:18" s="44" customFormat="1" ht="15.75" customHeight="1" outlineLevel="1" x14ac:dyDescent="0.25">
      <c r="A967" s="155"/>
      <c r="B967" s="156"/>
      <c r="C967" s="154" t="s">
        <v>1945</v>
      </c>
      <c r="D967" s="68"/>
      <c r="E967" s="167"/>
      <c r="F967" s="68"/>
      <c r="G967" s="156"/>
      <c r="H967" s="10"/>
      <c r="I967" s="69">
        <f>SUBTOTAL(9,I959:I966)</f>
        <v>1026219360.71</v>
      </c>
      <c r="J967" s="69">
        <f t="shared" ref="J967:O967" si="63">SUBTOTAL(9,J959:J966)</f>
        <v>888609336.56800008</v>
      </c>
      <c r="K967" s="69">
        <f t="shared" si="63"/>
        <v>535</v>
      </c>
      <c r="L967" s="157">
        <f t="shared" si="63"/>
        <v>410487744.28400004</v>
      </c>
      <c r="M967" s="157">
        <f t="shared" si="63"/>
        <v>275220048.27999997</v>
      </c>
      <c r="N967" s="69">
        <f t="shared" si="63"/>
        <v>613389288.28800011</v>
      </c>
      <c r="O967" s="157">
        <f t="shared" si="63"/>
        <v>135267696.00400007</v>
      </c>
      <c r="P967" s="92"/>
      <c r="Q967" s="10"/>
      <c r="R967" s="61"/>
    </row>
    <row r="968" spans="1:18" s="44" customFormat="1" ht="32.25" customHeight="1" outlineLevel="2" x14ac:dyDescent="0.25">
      <c r="A968" s="10" t="s">
        <v>35</v>
      </c>
      <c r="B968" s="2" t="s">
        <v>231</v>
      </c>
      <c r="C968" s="12" t="s">
        <v>39</v>
      </c>
      <c r="D968" s="2" t="s">
        <v>233</v>
      </c>
      <c r="E968" s="104" t="s">
        <v>1949</v>
      </c>
      <c r="F968" s="68" t="s">
        <v>234</v>
      </c>
      <c r="G968" s="2" t="s">
        <v>235</v>
      </c>
      <c r="H968" s="10" t="s">
        <v>38</v>
      </c>
      <c r="I968" s="5">
        <v>14819.36</v>
      </c>
      <c r="J968" s="5">
        <v>11855.49</v>
      </c>
      <c r="K968" s="10">
        <v>80</v>
      </c>
      <c r="L968" s="21">
        <f t="shared" ref="L968:L1027" si="64">I968*40%</f>
        <v>5927.7440000000006</v>
      </c>
      <c r="M968" s="5"/>
      <c r="N968" s="107">
        <v>11855.49</v>
      </c>
      <c r="O968" s="120">
        <f t="shared" ref="O968:O1027" si="65">L968-M968</f>
        <v>5927.7440000000006</v>
      </c>
      <c r="P968" s="92" t="s">
        <v>2498</v>
      </c>
      <c r="Q968" s="2"/>
      <c r="R968" s="61"/>
    </row>
    <row r="969" spans="1:18" s="44" customFormat="1" ht="32.25" customHeight="1" outlineLevel="2" x14ac:dyDescent="0.25">
      <c r="A969" s="10" t="s">
        <v>35</v>
      </c>
      <c r="B969" s="2" t="s">
        <v>250</v>
      </c>
      <c r="C969" s="12" t="s">
        <v>39</v>
      </c>
      <c r="D969" s="2" t="s">
        <v>253</v>
      </c>
      <c r="E969" s="104" t="s">
        <v>1949</v>
      </c>
      <c r="F969" s="68" t="s">
        <v>234</v>
      </c>
      <c r="G969" s="2" t="s">
        <v>254</v>
      </c>
      <c r="H969" s="10" t="s">
        <v>38</v>
      </c>
      <c r="I969" s="5">
        <v>544105.12</v>
      </c>
      <c r="J969" s="5">
        <v>435284.1</v>
      </c>
      <c r="K969" s="10">
        <v>80</v>
      </c>
      <c r="L969" s="21">
        <f t="shared" si="64"/>
        <v>217642.04800000001</v>
      </c>
      <c r="M969" s="5"/>
      <c r="N969" s="107">
        <v>435284.1</v>
      </c>
      <c r="O969" s="120">
        <f t="shared" si="65"/>
        <v>217642.04800000001</v>
      </c>
      <c r="P969" s="92" t="s">
        <v>2490</v>
      </c>
      <c r="Q969" s="2" t="s">
        <v>2862</v>
      </c>
      <c r="R969" s="61"/>
    </row>
    <row r="970" spans="1:18" s="44" customFormat="1" ht="32.25" customHeight="1" outlineLevel="2" x14ac:dyDescent="0.25">
      <c r="A970" s="10" t="s">
        <v>35</v>
      </c>
      <c r="B970" s="2" t="s">
        <v>336</v>
      </c>
      <c r="C970" s="12" t="s">
        <v>39</v>
      </c>
      <c r="D970" s="2" t="s">
        <v>338</v>
      </c>
      <c r="E970" s="104" t="s">
        <v>1949</v>
      </c>
      <c r="F970" s="68" t="s">
        <v>234</v>
      </c>
      <c r="G970" s="2" t="s">
        <v>169</v>
      </c>
      <c r="H970" s="10" t="s">
        <v>38</v>
      </c>
      <c r="I970" s="5">
        <v>6036.46</v>
      </c>
      <c r="J970" s="5">
        <v>4829.17</v>
      </c>
      <c r="K970" s="10">
        <v>80</v>
      </c>
      <c r="L970" s="21">
        <f t="shared" si="64"/>
        <v>2414.5840000000003</v>
      </c>
      <c r="M970" s="5"/>
      <c r="N970" s="107">
        <v>4829.17</v>
      </c>
      <c r="O970" s="120">
        <f t="shared" si="65"/>
        <v>2414.5840000000003</v>
      </c>
      <c r="P970" s="92" t="s">
        <v>2498</v>
      </c>
      <c r="Q970" s="2"/>
      <c r="R970" s="61"/>
    </row>
    <row r="971" spans="1:18" s="44" customFormat="1" ht="32.25" customHeight="1" outlineLevel="2" x14ac:dyDescent="0.25">
      <c r="A971" s="10" t="s">
        <v>35</v>
      </c>
      <c r="B971" s="2" t="s">
        <v>448</v>
      </c>
      <c r="C971" s="12" t="s">
        <v>39</v>
      </c>
      <c r="D971" s="2" t="s">
        <v>449</v>
      </c>
      <c r="E971" s="104" t="s">
        <v>1949</v>
      </c>
      <c r="F971" s="68" t="s">
        <v>234</v>
      </c>
      <c r="G971" s="2" t="s">
        <v>450</v>
      </c>
      <c r="H971" s="10" t="s">
        <v>38</v>
      </c>
      <c r="I971" s="5">
        <v>47700.82</v>
      </c>
      <c r="J971" s="5">
        <v>38160.660000000003</v>
      </c>
      <c r="K971" s="10">
        <v>80</v>
      </c>
      <c r="L971" s="21">
        <f t="shared" si="64"/>
        <v>19080.328000000001</v>
      </c>
      <c r="M971" s="5"/>
      <c r="N971" s="107">
        <v>38160.660000000003</v>
      </c>
      <c r="O971" s="120">
        <f t="shared" si="65"/>
        <v>19080.328000000001</v>
      </c>
      <c r="P971" s="92" t="s">
        <v>2498</v>
      </c>
      <c r="Q971" s="2"/>
      <c r="R971" s="61"/>
    </row>
    <row r="972" spans="1:18" s="44" customFormat="1" ht="32.25" customHeight="1" outlineLevel="2" x14ac:dyDescent="0.25">
      <c r="A972" s="10" t="s">
        <v>35</v>
      </c>
      <c r="B972" s="2" t="s">
        <v>477</v>
      </c>
      <c r="C972" s="12" t="s">
        <v>39</v>
      </c>
      <c r="D972" s="2" t="s">
        <v>479</v>
      </c>
      <c r="E972" s="104" t="s">
        <v>1949</v>
      </c>
      <c r="F972" s="68" t="s">
        <v>234</v>
      </c>
      <c r="G972" s="2" t="s">
        <v>478</v>
      </c>
      <c r="H972" s="10" t="s">
        <v>38</v>
      </c>
      <c r="I972" s="5">
        <v>87353.34</v>
      </c>
      <c r="J972" s="5">
        <v>69882.67</v>
      </c>
      <c r="K972" s="10">
        <v>80</v>
      </c>
      <c r="L972" s="21">
        <f t="shared" si="64"/>
        <v>34941.336000000003</v>
      </c>
      <c r="M972" s="5"/>
      <c r="N972" s="107">
        <v>69882.67</v>
      </c>
      <c r="O972" s="120">
        <f t="shared" si="65"/>
        <v>34941.336000000003</v>
      </c>
      <c r="P972" s="93" t="s">
        <v>2498</v>
      </c>
      <c r="Q972" s="2" t="s">
        <v>2500</v>
      </c>
      <c r="R972" s="61"/>
    </row>
    <row r="973" spans="1:18" s="44" customFormat="1" ht="32.25" customHeight="1" outlineLevel="2" x14ac:dyDescent="0.25">
      <c r="A973" s="10" t="s">
        <v>35</v>
      </c>
      <c r="B973" s="2" t="s">
        <v>484</v>
      </c>
      <c r="C973" s="12" t="s">
        <v>39</v>
      </c>
      <c r="D973" s="2" t="s">
        <v>486</v>
      </c>
      <c r="E973" s="104" t="s">
        <v>1949</v>
      </c>
      <c r="F973" s="68" t="s">
        <v>234</v>
      </c>
      <c r="G973" s="2" t="s">
        <v>485</v>
      </c>
      <c r="H973" s="10" t="s">
        <v>38</v>
      </c>
      <c r="I973" s="5">
        <v>111580.94</v>
      </c>
      <c r="J973" s="5">
        <v>89264.75</v>
      </c>
      <c r="K973" s="10">
        <v>80</v>
      </c>
      <c r="L973" s="21">
        <f t="shared" si="64"/>
        <v>44632.376000000004</v>
      </c>
      <c r="M973" s="5"/>
      <c r="N973" s="107">
        <v>89264.75</v>
      </c>
      <c r="O973" s="120">
        <f t="shared" si="65"/>
        <v>44632.376000000004</v>
      </c>
      <c r="P973" s="93" t="s">
        <v>2498</v>
      </c>
      <c r="Q973" s="2" t="s">
        <v>2500</v>
      </c>
      <c r="R973" s="61"/>
    </row>
    <row r="974" spans="1:18" s="44" customFormat="1" ht="32.25" customHeight="1" outlineLevel="2" x14ac:dyDescent="0.25">
      <c r="A974" s="10" t="s">
        <v>35</v>
      </c>
      <c r="B974" s="2" t="s">
        <v>520</v>
      </c>
      <c r="C974" s="12" t="s">
        <v>39</v>
      </c>
      <c r="D974" s="2" t="s">
        <v>525</v>
      </c>
      <c r="E974" s="104" t="s">
        <v>1949</v>
      </c>
      <c r="F974" s="68" t="s">
        <v>234</v>
      </c>
      <c r="G974" s="2" t="s">
        <v>521</v>
      </c>
      <c r="H974" s="10" t="s">
        <v>38</v>
      </c>
      <c r="I974" s="5">
        <v>76554.62</v>
      </c>
      <c r="J974" s="5">
        <v>61243.7</v>
      </c>
      <c r="K974" s="10">
        <v>80</v>
      </c>
      <c r="L974" s="21">
        <f t="shared" si="64"/>
        <v>30621.847999999998</v>
      </c>
      <c r="M974" s="5"/>
      <c r="N974" s="107">
        <v>61243.7</v>
      </c>
      <c r="O974" s="120">
        <f t="shared" si="65"/>
        <v>30621.847999999998</v>
      </c>
      <c r="P974" s="92" t="s">
        <v>2498</v>
      </c>
      <c r="Q974" s="2"/>
      <c r="R974" s="61"/>
    </row>
    <row r="975" spans="1:18" s="44" customFormat="1" ht="32.25" customHeight="1" outlineLevel="2" x14ac:dyDescent="0.25">
      <c r="A975" s="10" t="s">
        <v>35</v>
      </c>
      <c r="B975" s="2" t="s">
        <v>552</v>
      </c>
      <c r="C975" s="12" t="s">
        <v>39</v>
      </c>
      <c r="D975" s="2" t="s">
        <v>554</v>
      </c>
      <c r="E975" s="104" t="s">
        <v>1949</v>
      </c>
      <c r="F975" s="68" t="s">
        <v>27</v>
      </c>
      <c r="G975" s="2" t="s">
        <v>553</v>
      </c>
      <c r="H975" s="10" t="s">
        <v>38</v>
      </c>
      <c r="I975" s="5">
        <v>60755.41</v>
      </c>
      <c r="J975" s="5">
        <v>48604.33</v>
      </c>
      <c r="K975" s="10">
        <v>80</v>
      </c>
      <c r="L975" s="21">
        <f t="shared" si="64"/>
        <v>24302.164000000004</v>
      </c>
      <c r="M975" s="5"/>
      <c r="N975" s="107">
        <v>48604.33</v>
      </c>
      <c r="O975" s="120">
        <f t="shared" si="65"/>
        <v>24302.164000000004</v>
      </c>
      <c r="P975" s="92" t="s">
        <v>2498</v>
      </c>
      <c r="Q975" s="2"/>
      <c r="R975" s="61"/>
    </row>
    <row r="976" spans="1:18" s="44" customFormat="1" ht="32.25" customHeight="1" outlineLevel="2" x14ac:dyDescent="0.25">
      <c r="A976" s="10" t="s">
        <v>35</v>
      </c>
      <c r="B976" s="2" t="s">
        <v>558</v>
      </c>
      <c r="C976" s="12" t="s">
        <v>39</v>
      </c>
      <c r="D976" s="2" t="s">
        <v>563</v>
      </c>
      <c r="E976" s="104" t="s">
        <v>1949</v>
      </c>
      <c r="F976" s="68" t="s">
        <v>234</v>
      </c>
      <c r="G976" s="2" t="s">
        <v>559</v>
      </c>
      <c r="H976" s="10" t="s">
        <v>38</v>
      </c>
      <c r="I976" s="5">
        <v>4864234.99</v>
      </c>
      <c r="J976" s="5">
        <v>3891387.99</v>
      </c>
      <c r="K976" s="10">
        <v>80</v>
      </c>
      <c r="L976" s="21">
        <f t="shared" si="64"/>
        <v>1945693.9960000003</v>
      </c>
      <c r="M976" s="5"/>
      <c r="N976" s="107">
        <v>3891387.99</v>
      </c>
      <c r="O976" s="120">
        <f t="shared" si="65"/>
        <v>1945693.9960000003</v>
      </c>
      <c r="P976" s="93" t="s">
        <v>2647</v>
      </c>
      <c r="Q976" s="2" t="s">
        <v>2403</v>
      </c>
      <c r="R976" s="61"/>
    </row>
    <row r="977" spans="1:18" s="44" customFormat="1" ht="32.25" customHeight="1" outlineLevel="2" x14ac:dyDescent="0.25">
      <c r="A977" s="10" t="s">
        <v>35</v>
      </c>
      <c r="B977" s="2" t="s">
        <v>558</v>
      </c>
      <c r="C977" s="12" t="s">
        <v>39</v>
      </c>
      <c r="D977" s="2" t="s">
        <v>563</v>
      </c>
      <c r="E977" s="104" t="s">
        <v>1949</v>
      </c>
      <c r="F977" s="68" t="s">
        <v>423</v>
      </c>
      <c r="G977" s="2" t="s">
        <v>559</v>
      </c>
      <c r="H977" s="10" t="s">
        <v>38</v>
      </c>
      <c r="I977" s="5">
        <v>4864234.99</v>
      </c>
      <c r="J977" s="5">
        <v>972847</v>
      </c>
      <c r="K977" s="10">
        <v>20</v>
      </c>
      <c r="L977" s="21">
        <f t="shared" si="64"/>
        <v>1945693.9960000003</v>
      </c>
      <c r="M977" s="5"/>
      <c r="N977" s="107">
        <v>972847</v>
      </c>
      <c r="O977" s="120">
        <f t="shared" si="65"/>
        <v>1945693.9960000003</v>
      </c>
      <c r="P977" s="92"/>
      <c r="Q977" s="2"/>
      <c r="R977" s="61"/>
    </row>
    <row r="978" spans="1:18" s="44" customFormat="1" ht="32.25" customHeight="1" outlineLevel="2" x14ac:dyDescent="0.25">
      <c r="A978" s="10" t="s">
        <v>35</v>
      </c>
      <c r="B978" s="2" t="s">
        <v>628</v>
      </c>
      <c r="C978" s="12" t="s">
        <v>39</v>
      </c>
      <c r="D978" s="2" t="s">
        <v>637</v>
      </c>
      <c r="E978" s="104" t="s">
        <v>1949</v>
      </c>
      <c r="F978" s="68" t="s">
        <v>234</v>
      </c>
      <c r="G978" s="2" t="s">
        <v>468</v>
      </c>
      <c r="H978" s="10" t="s">
        <v>38</v>
      </c>
      <c r="I978" s="5">
        <v>388760.98</v>
      </c>
      <c r="J978" s="5">
        <v>311008.78000000003</v>
      </c>
      <c r="K978" s="10">
        <v>80</v>
      </c>
      <c r="L978" s="21">
        <f t="shared" si="64"/>
        <v>155504.39199999999</v>
      </c>
      <c r="M978" s="5"/>
      <c r="N978" s="107">
        <v>311008.78000000003</v>
      </c>
      <c r="O978" s="120">
        <f t="shared" si="65"/>
        <v>155504.39199999999</v>
      </c>
      <c r="P978" s="92" t="s">
        <v>2498</v>
      </c>
      <c r="Q978" s="2"/>
      <c r="R978" s="61"/>
    </row>
    <row r="979" spans="1:18" s="44" customFormat="1" ht="32.25" customHeight="1" outlineLevel="2" x14ac:dyDescent="0.25">
      <c r="A979" s="10" t="s">
        <v>35</v>
      </c>
      <c r="B979" s="2" t="s">
        <v>628</v>
      </c>
      <c r="C979" s="12" t="s">
        <v>39</v>
      </c>
      <c r="D979" s="2" t="s">
        <v>638</v>
      </c>
      <c r="E979" s="104" t="s">
        <v>1949</v>
      </c>
      <c r="F979" s="68" t="s">
        <v>234</v>
      </c>
      <c r="G979" s="2" t="s">
        <v>630</v>
      </c>
      <c r="H979" s="10" t="s">
        <v>38</v>
      </c>
      <c r="I979" s="5">
        <v>37091.379999999997</v>
      </c>
      <c r="J979" s="5">
        <v>29673.1</v>
      </c>
      <c r="K979" s="10">
        <v>80</v>
      </c>
      <c r="L979" s="21">
        <f t="shared" si="64"/>
        <v>14836.552</v>
      </c>
      <c r="M979" s="5"/>
      <c r="N979" s="107">
        <v>29673.1</v>
      </c>
      <c r="O979" s="120">
        <f t="shared" si="65"/>
        <v>14836.552</v>
      </c>
      <c r="P979" s="92" t="s">
        <v>2498</v>
      </c>
      <c r="Q979" s="2"/>
      <c r="R979" s="61"/>
    </row>
    <row r="980" spans="1:18" s="44" customFormat="1" ht="32.25" customHeight="1" outlineLevel="2" x14ac:dyDescent="0.25">
      <c r="A980" s="10" t="s">
        <v>35</v>
      </c>
      <c r="B980" s="2" t="s">
        <v>643</v>
      </c>
      <c r="C980" s="12" t="s">
        <v>39</v>
      </c>
      <c r="D980" s="2" t="s">
        <v>648</v>
      </c>
      <c r="E980" s="104" t="s">
        <v>1949</v>
      </c>
      <c r="F980" s="68" t="s">
        <v>234</v>
      </c>
      <c r="G980" s="2" t="s">
        <v>645</v>
      </c>
      <c r="H980" s="10" t="s">
        <v>38</v>
      </c>
      <c r="I980" s="5">
        <v>571433.56000000006</v>
      </c>
      <c r="J980" s="5">
        <v>457146.85</v>
      </c>
      <c r="K980" s="10">
        <v>80</v>
      </c>
      <c r="L980" s="21">
        <f t="shared" si="64"/>
        <v>228573.42400000003</v>
      </c>
      <c r="M980" s="5"/>
      <c r="N980" s="107">
        <v>457146.85</v>
      </c>
      <c r="O980" s="120">
        <f t="shared" si="65"/>
        <v>228573.42400000003</v>
      </c>
      <c r="P980" s="92" t="s">
        <v>2498</v>
      </c>
      <c r="Q980" s="2"/>
      <c r="R980" s="61"/>
    </row>
    <row r="981" spans="1:18" s="44" customFormat="1" ht="32.25" customHeight="1" outlineLevel="2" x14ac:dyDescent="0.25">
      <c r="A981" s="10" t="s">
        <v>35</v>
      </c>
      <c r="B981" s="2" t="s">
        <v>803</v>
      </c>
      <c r="C981" s="12" t="s">
        <v>39</v>
      </c>
      <c r="D981" s="2" t="s">
        <v>806</v>
      </c>
      <c r="E981" s="104" t="s">
        <v>1949</v>
      </c>
      <c r="F981" s="68" t="s">
        <v>234</v>
      </c>
      <c r="G981" s="2" t="s">
        <v>804</v>
      </c>
      <c r="H981" s="10" t="s">
        <v>38</v>
      </c>
      <c r="I981" s="5">
        <v>1331111.23</v>
      </c>
      <c r="J981" s="5">
        <v>1064888.98</v>
      </c>
      <c r="K981" s="10">
        <v>80</v>
      </c>
      <c r="L981" s="21">
        <f t="shared" si="64"/>
        <v>532444.49199999997</v>
      </c>
      <c r="M981" s="5"/>
      <c r="N981" s="107">
        <v>1064888.98</v>
      </c>
      <c r="O981" s="120">
        <f t="shared" si="65"/>
        <v>532444.49199999997</v>
      </c>
      <c r="P981" s="93" t="s">
        <v>2489</v>
      </c>
      <c r="Q981" s="2" t="s">
        <v>2403</v>
      </c>
      <c r="R981" s="61"/>
    </row>
    <row r="982" spans="1:18" s="44" customFormat="1" ht="32.25" customHeight="1" outlineLevel="2" x14ac:dyDescent="0.25">
      <c r="A982" s="10" t="s">
        <v>35</v>
      </c>
      <c r="B982" s="2" t="s">
        <v>895</v>
      </c>
      <c r="C982" s="12" t="s">
        <v>39</v>
      </c>
      <c r="D982" s="2" t="s">
        <v>897</v>
      </c>
      <c r="E982" s="104" t="s">
        <v>1949</v>
      </c>
      <c r="F982" s="68" t="s">
        <v>234</v>
      </c>
      <c r="G982" s="2" t="s">
        <v>896</v>
      </c>
      <c r="H982" s="10" t="s">
        <v>38</v>
      </c>
      <c r="I982" s="5">
        <v>1229179.3600000001</v>
      </c>
      <c r="J982" s="5">
        <v>983343.49</v>
      </c>
      <c r="K982" s="10">
        <v>80</v>
      </c>
      <c r="L982" s="21">
        <f t="shared" si="64"/>
        <v>491671.74400000006</v>
      </c>
      <c r="M982" s="5"/>
      <c r="N982" s="107">
        <v>983343.49</v>
      </c>
      <c r="O982" s="120">
        <f t="shared" si="65"/>
        <v>491671.74400000006</v>
      </c>
      <c r="P982" s="92"/>
      <c r="Q982" s="2"/>
      <c r="R982" s="61"/>
    </row>
    <row r="983" spans="1:18" s="44" customFormat="1" ht="32.25" customHeight="1" outlineLevel="2" x14ac:dyDescent="0.25">
      <c r="A983" s="10" t="s">
        <v>35</v>
      </c>
      <c r="B983" s="2" t="s">
        <v>970</v>
      </c>
      <c r="C983" s="12" t="s">
        <v>39</v>
      </c>
      <c r="D983" s="2" t="s">
        <v>972</v>
      </c>
      <c r="E983" s="104" t="s">
        <v>1949</v>
      </c>
      <c r="F983" s="68" t="s">
        <v>234</v>
      </c>
      <c r="G983" s="2" t="s">
        <v>971</v>
      </c>
      <c r="H983" s="10" t="s">
        <v>38</v>
      </c>
      <c r="I983" s="5">
        <v>345960</v>
      </c>
      <c r="J983" s="5">
        <v>276768</v>
      </c>
      <c r="K983" s="10">
        <v>80</v>
      </c>
      <c r="L983" s="21">
        <f t="shared" si="64"/>
        <v>138384</v>
      </c>
      <c r="M983" s="5"/>
      <c r="N983" s="107">
        <v>276768</v>
      </c>
      <c r="O983" s="120">
        <f t="shared" si="65"/>
        <v>138384</v>
      </c>
      <c r="P983" s="92" t="s">
        <v>2498</v>
      </c>
      <c r="Q983" s="2"/>
      <c r="R983" s="61"/>
    </row>
    <row r="984" spans="1:18" s="44" customFormat="1" ht="32.25" customHeight="1" outlineLevel="2" x14ac:dyDescent="0.25">
      <c r="A984" s="10" t="s">
        <v>35</v>
      </c>
      <c r="B984" s="2" t="s">
        <v>1016</v>
      </c>
      <c r="C984" s="12" t="s">
        <v>39</v>
      </c>
      <c r="D984" s="2" t="s">
        <v>1018</v>
      </c>
      <c r="E984" s="104" t="s">
        <v>1949</v>
      </c>
      <c r="F984" s="68" t="s">
        <v>234</v>
      </c>
      <c r="G984" s="2" t="s">
        <v>251</v>
      </c>
      <c r="H984" s="10" t="s">
        <v>38</v>
      </c>
      <c r="I984" s="5">
        <v>3632347.9</v>
      </c>
      <c r="J984" s="5">
        <v>2905878.32</v>
      </c>
      <c r="K984" s="10">
        <v>80</v>
      </c>
      <c r="L984" s="21">
        <f t="shared" si="64"/>
        <v>1452939.1600000001</v>
      </c>
      <c r="M984" s="5"/>
      <c r="N984" s="107">
        <v>2905878.32</v>
      </c>
      <c r="O984" s="120">
        <f t="shared" si="65"/>
        <v>1452939.1600000001</v>
      </c>
      <c r="P984" s="92"/>
      <c r="Q984" s="2" t="s">
        <v>2862</v>
      </c>
      <c r="R984" s="61"/>
    </row>
    <row r="985" spans="1:18" s="44" customFormat="1" ht="32.25" customHeight="1" outlineLevel="2" x14ac:dyDescent="0.25">
      <c r="A985" s="10" t="s">
        <v>35</v>
      </c>
      <c r="B985" s="2" t="s">
        <v>1041</v>
      </c>
      <c r="C985" s="12" t="s">
        <v>39</v>
      </c>
      <c r="D985" s="2" t="s">
        <v>1042</v>
      </c>
      <c r="E985" s="104" t="s">
        <v>1949</v>
      </c>
      <c r="F985" s="68" t="s">
        <v>234</v>
      </c>
      <c r="G985" s="2" t="s">
        <v>1043</v>
      </c>
      <c r="H985" s="10" t="s">
        <v>38</v>
      </c>
      <c r="I985" s="5">
        <v>579873.6</v>
      </c>
      <c r="J985" s="5">
        <v>463898.88</v>
      </c>
      <c r="K985" s="10">
        <v>80</v>
      </c>
      <c r="L985" s="21">
        <f t="shared" si="64"/>
        <v>231949.44</v>
      </c>
      <c r="M985" s="5"/>
      <c r="N985" s="107">
        <v>463898.88</v>
      </c>
      <c r="O985" s="120">
        <f t="shared" si="65"/>
        <v>231949.44</v>
      </c>
      <c r="P985" s="92"/>
      <c r="Q985" s="2" t="s">
        <v>2501</v>
      </c>
      <c r="R985" s="61"/>
    </row>
    <row r="986" spans="1:18" s="44" customFormat="1" ht="32.25" customHeight="1" outlineLevel="2" x14ac:dyDescent="0.25">
      <c r="A986" s="10" t="s">
        <v>35</v>
      </c>
      <c r="B986" s="2" t="s">
        <v>1056</v>
      </c>
      <c r="C986" s="12" t="s">
        <v>39</v>
      </c>
      <c r="D986" s="2" t="s">
        <v>1058</v>
      </c>
      <c r="E986" s="104" t="s">
        <v>1949</v>
      </c>
      <c r="F986" s="68" t="s">
        <v>234</v>
      </c>
      <c r="G986" s="2" t="s">
        <v>1057</v>
      </c>
      <c r="H986" s="10" t="s">
        <v>38</v>
      </c>
      <c r="I986" s="5">
        <v>54560.12</v>
      </c>
      <c r="J986" s="5">
        <v>43648.1</v>
      </c>
      <c r="K986" s="10">
        <v>80</v>
      </c>
      <c r="L986" s="21">
        <f t="shared" si="64"/>
        <v>21824.048000000003</v>
      </c>
      <c r="M986" s="5"/>
      <c r="N986" s="107">
        <v>43648.1</v>
      </c>
      <c r="O986" s="120">
        <f t="shared" si="65"/>
        <v>21824.048000000003</v>
      </c>
      <c r="P986" s="92" t="s">
        <v>2498</v>
      </c>
      <c r="Q986" s="2"/>
      <c r="R986" s="61"/>
    </row>
    <row r="987" spans="1:18" s="44" customFormat="1" ht="32.25" customHeight="1" outlineLevel="2" x14ac:dyDescent="0.25">
      <c r="A987" s="10" t="s">
        <v>35</v>
      </c>
      <c r="B987" s="2" t="s">
        <v>1124</v>
      </c>
      <c r="C987" s="12" t="s">
        <v>39</v>
      </c>
      <c r="D987" s="2" t="s">
        <v>1126</v>
      </c>
      <c r="E987" s="104" t="s">
        <v>1949</v>
      </c>
      <c r="F987" s="68" t="s">
        <v>234</v>
      </c>
      <c r="G987" s="2" t="s">
        <v>173</v>
      </c>
      <c r="H987" s="10" t="s">
        <v>38</v>
      </c>
      <c r="I987" s="5">
        <v>75498.33</v>
      </c>
      <c r="J987" s="5">
        <v>60398.66</v>
      </c>
      <c r="K987" s="10">
        <v>80</v>
      </c>
      <c r="L987" s="21">
        <f t="shared" si="64"/>
        <v>30199.332000000002</v>
      </c>
      <c r="M987" s="5"/>
      <c r="N987" s="107">
        <v>60398.66</v>
      </c>
      <c r="O987" s="120">
        <f t="shared" si="65"/>
        <v>30199.332000000002</v>
      </c>
      <c r="P987" s="92" t="s">
        <v>2498</v>
      </c>
      <c r="Q987" s="2"/>
      <c r="R987" s="61"/>
    </row>
    <row r="988" spans="1:18" s="44" customFormat="1" ht="32.25" customHeight="1" outlineLevel="2" x14ac:dyDescent="0.25">
      <c r="A988" s="10" t="s">
        <v>35</v>
      </c>
      <c r="B988" s="2" t="s">
        <v>1124</v>
      </c>
      <c r="C988" s="12" t="s">
        <v>39</v>
      </c>
      <c r="D988" s="2" t="s">
        <v>1127</v>
      </c>
      <c r="E988" s="104" t="s">
        <v>1949</v>
      </c>
      <c r="F988" s="68" t="s">
        <v>234</v>
      </c>
      <c r="G988" s="2" t="s">
        <v>173</v>
      </c>
      <c r="H988" s="10" t="s">
        <v>38</v>
      </c>
      <c r="I988" s="5">
        <v>26445.11</v>
      </c>
      <c r="J988" s="5">
        <v>21156.09</v>
      </c>
      <c r="K988" s="10">
        <v>80</v>
      </c>
      <c r="L988" s="21">
        <f t="shared" si="64"/>
        <v>10578.044000000002</v>
      </c>
      <c r="M988" s="5"/>
      <c r="N988" s="107">
        <v>21156.09</v>
      </c>
      <c r="O988" s="120">
        <f t="shared" si="65"/>
        <v>10578.044000000002</v>
      </c>
      <c r="P988" s="92" t="s">
        <v>2498</v>
      </c>
      <c r="Q988" s="2"/>
      <c r="R988" s="61"/>
    </row>
    <row r="989" spans="1:18" s="44" customFormat="1" ht="32.25" customHeight="1" outlineLevel="2" x14ac:dyDescent="0.25">
      <c r="A989" s="10" t="s">
        <v>35</v>
      </c>
      <c r="B989" s="2" t="s">
        <v>1162</v>
      </c>
      <c r="C989" s="12" t="s">
        <v>39</v>
      </c>
      <c r="D989" s="2" t="s">
        <v>1163</v>
      </c>
      <c r="E989" s="104" t="s">
        <v>1949</v>
      </c>
      <c r="F989" s="68" t="s">
        <v>234</v>
      </c>
      <c r="G989" s="2" t="s">
        <v>258</v>
      </c>
      <c r="H989" s="10" t="s">
        <v>38</v>
      </c>
      <c r="I989" s="5">
        <v>19378.97</v>
      </c>
      <c r="J989" s="5">
        <v>15503.18</v>
      </c>
      <c r="K989" s="10">
        <v>80</v>
      </c>
      <c r="L989" s="21">
        <f t="shared" si="64"/>
        <v>7751.5880000000006</v>
      </c>
      <c r="M989" s="5"/>
      <c r="N989" s="107">
        <v>15503.18</v>
      </c>
      <c r="O989" s="120">
        <f t="shared" si="65"/>
        <v>7751.5880000000006</v>
      </c>
      <c r="P989" s="93" t="s">
        <v>2502</v>
      </c>
      <c r="Q989" s="2" t="s">
        <v>2500</v>
      </c>
      <c r="R989" s="61"/>
    </row>
    <row r="990" spans="1:18" s="44" customFormat="1" ht="32.25" customHeight="1" outlineLevel="2" x14ac:dyDescent="0.25">
      <c r="A990" s="10" t="s">
        <v>35</v>
      </c>
      <c r="B990" s="2" t="s">
        <v>1294</v>
      </c>
      <c r="C990" s="12" t="s">
        <v>39</v>
      </c>
      <c r="D990" s="2" t="s">
        <v>1295</v>
      </c>
      <c r="E990" s="104" t="s">
        <v>1949</v>
      </c>
      <c r="F990" s="68" t="s">
        <v>234</v>
      </c>
      <c r="G990" s="2" t="s">
        <v>445</v>
      </c>
      <c r="H990" s="10" t="s">
        <v>38</v>
      </c>
      <c r="I990" s="5">
        <v>3151068.29</v>
      </c>
      <c r="J990" s="5">
        <v>2520854.63</v>
      </c>
      <c r="K990" s="10">
        <v>80</v>
      </c>
      <c r="L990" s="21">
        <f t="shared" si="64"/>
        <v>1260427.3160000001</v>
      </c>
      <c r="M990" s="5"/>
      <c r="N990" s="107">
        <v>2520854.63</v>
      </c>
      <c r="O990" s="120">
        <f t="shared" si="65"/>
        <v>1260427.3160000001</v>
      </c>
      <c r="P990" s="92"/>
      <c r="Q990" s="2" t="s">
        <v>2863</v>
      </c>
      <c r="R990" s="61"/>
    </row>
    <row r="991" spans="1:18" s="44" customFormat="1" ht="32.25" customHeight="1" outlineLevel="2" x14ac:dyDescent="0.25">
      <c r="A991" s="10" t="s">
        <v>35</v>
      </c>
      <c r="B991" s="2" t="s">
        <v>1315</v>
      </c>
      <c r="C991" s="12" t="s">
        <v>39</v>
      </c>
      <c r="D991" s="2" t="s">
        <v>1337</v>
      </c>
      <c r="E991" s="104" t="s">
        <v>1949</v>
      </c>
      <c r="F991" s="68" t="s">
        <v>234</v>
      </c>
      <c r="G991" s="2" t="s">
        <v>1217</v>
      </c>
      <c r="H991" s="10" t="s">
        <v>38</v>
      </c>
      <c r="I991" s="5">
        <v>17619.169999999998</v>
      </c>
      <c r="J991" s="5">
        <v>14095.34</v>
      </c>
      <c r="K991" s="10">
        <v>80</v>
      </c>
      <c r="L991" s="21">
        <f t="shared" si="64"/>
        <v>7047.6679999999997</v>
      </c>
      <c r="M991" s="5"/>
      <c r="N991" s="107">
        <v>14095.34</v>
      </c>
      <c r="O991" s="120">
        <f t="shared" si="65"/>
        <v>7047.6679999999997</v>
      </c>
      <c r="P991" s="92" t="s">
        <v>2489</v>
      </c>
      <c r="Q991" s="2" t="s">
        <v>2864</v>
      </c>
      <c r="R991" s="61"/>
    </row>
    <row r="992" spans="1:18" s="44" customFormat="1" ht="32.25" customHeight="1" outlineLevel="2" x14ac:dyDescent="0.25">
      <c r="A992" s="10" t="s">
        <v>35</v>
      </c>
      <c r="B992" s="2" t="s">
        <v>1315</v>
      </c>
      <c r="C992" s="12" t="s">
        <v>39</v>
      </c>
      <c r="D992" s="2" t="s">
        <v>1338</v>
      </c>
      <c r="E992" s="104" t="s">
        <v>1949</v>
      </c>
      <c r="F992" s="68" t="s">
        <v>234</v>
      </c>
      <c r="G992" s="2" t="s">
        <v>476</v>
      </c>
      <c r="H992" s="10" t="s">
        <v>38</v>
      </c>
      <c r="I992" s="5">
        <v>98110.35</v>
      </c>
      <c r="J992" s="5">
        <v>78488.28</v>
      </c>
      <c r="K992" s="10">
        <v>80</v>
      </c>
      <c r="L992" s="21">
        <f t="shared" si="64"/>
        <v>39244.140000000007</v>
      </c>
      <c r="M992" s="5"/>
      <c r="N992" s="107">
        <v>78488.28</v>
      </c>
      <c r="O992" s="120">
        <f t="shared" si="65"/>
        <v>39244.140000000007</v>
      </c>
      <c r="P992" s="92" t="s">
        <v>2489</v>
      </c>
      <c r="Q992" s="2" t="s">
        <v>2865</v>
      </c>
      <c r="R992" s="61"/>
    </row>
    <row r="993" spans="1:18" s="44" customFormat="1" ht="32.25" customHeight="1" outlineLevel="2" x14ac:dyDescent="0.25">
      <c r="A993" s="10" t="s">
        <v>35</v>
      </c>
      <c r="B993" s="2" t="s">
        <v>1315</v>
      </c>
      <c r="C993" s="12" t="s">
        <v>39</v>
      </c>
      <c r="D993" s="2" t="s">
        <v>1339</v>
      </c>
      <c r="E993" s="104" t="s">
        <v>1949</v>
      </c>
      <c r="F993" s="68" t="s">
        <v>1340</v>
      </c>
      <c r="G993" s="2" t="s">
        <v>1120</v>
      </c>
      <c r="H993" s="10" t="s">
        <v>38</v>
      </c>
      <c r="I993" s="5">
        <v>355652.63</v>
      </c>
      <c r="J993" s="5">
        <v>284522.09999999998</v>
      </c>
      <c r="K993" s="10">
        <v>80</v>
      </c>
      <c r="L993" s="21">
        <f t="shared" si="64"/>
        <v>142261.052</v>
      </c>
      <c r="M993" s="5"/>
      <c r="N993" s="107">
        <v>284522.09999999998</v>
      </c>
      <c r="O993" s="120">
        <f t="shared" si="65"/>
        <v>142261.052</v>
      </c>
      <c r="P993" s="92" t="s">
        <v>2648</v>
      </c>
      <c r="Q993" s="2" t="s">
        <v>2649</v>
      </c>
      <c r="R993" s="61"/>
    </row>
    <row r="994" spans="1:18" s="44" customFormat="1" ht="32.25" customHeight="1" outlineLevel="2" x14ac:dyDescent="0.25">
      <c r="A994" s="10" t="s">
        <v>35</v>
      </c>
      <c r="B994" s="2" t="s">
        <v>1315</v>
      </c>
      <c r="C994" s="12" t="s">
        <v>39</v>
      </c>
      <c r="D994" s="2" t="s">
        <v>1341</v>
      </c>
      <c r="E994" s="104" t="s">
        <v>1949</v>
      </c>
      <c r="F994" s="68" t="s">
        <v>234</v>
      </c>
      <c r="G994" s="2" t="s">
        <v>1342</v>
      </c>
      <c r="H994" s="10" t="s">
        <v>38</v>
      </c>
      <c r="I994" s="5">
        <v>26423.9</v>
      </c>
      <c r="J994" s="5">
        <v>21139.119999999999</v>
      </c>
      <c r="K994" s="10">
        <v>80</v>
      </c>
      <c r="L994" s="21">
        <f t="shared" si="64"/>
        <v>10569.560000000001</v>
      </c>
      <c r="M994" s="5"/>
      <c r="N994" s="107">
        <v>21139.119999999999</v>
      </c>
      <c r="O994" s="120">
        <f t="shared" si="65"/>
        <v>10569.560000000001</v>
      </c>
      <c r="P994" s="92" t="s">
        <v>2489</v>
      </c>
      <c r="Q994" s="2" t="s">
        <v>2865</v>
      </c>
      <c r="R994" s="61"/>
    </row>
    <row r="995" spans="1:18" s="44" customFormat="1" ht="32.25" customHeight="1" outlineLevel="2" x14ac:dyDescent="0.25">
      <c r="A995" s="10" t="s">
        <v>35</v>
      </c>
      <c r="B995" s="2" t="s">
        <v>1315</v>
      </c>
      <c r="C995" s="12" t="s">
        <v>39</v>
      </c>
      <c r="D995" s="2" t="s">
        <v>1343</v>
      </c>
      <c r="E995" s="104" t="s">
        <v>1949</v>
      </c>
      <c r="F995" s="68" t="s">
        <v>234</v>
      </c>
      <c r="G995" s="2" t="s">
        <v>1217</v>
      </c>
      <c r="H995" s="10" t="s">
        <v>38</v>
      </c>
      <c r="I995" s="5">
        <v>2967.8</v>
      </c>
      <c r="J995" s="5">
        <v>2374.2399999999998</v>
      </c>
      <c r="K995" s="10">
        <v>80</v>
      </c>
      <c r="L995" s="21">
        <f t="shared" si="64"/>
        <v>1187.1200000000001</v>
      </c>
      <c r="M995" s="5"/>
      <c r="N995" s="107">
        <v>2374.2399999999998</v>
      </c>
      <c r="O995" s="120">
        <f t="shared" si="65"/>
        <v>1187.1200000000001</v>
      </c>
      <c r="P995" s="92" t="s">
        <v>2489</v>
      </c>
      <c r="Q995" s="2" t="s">
        <v>2864</v>
      </c>
      <c r="R995" s="61"/>
    </row>
    <row r="996" spans="1:18" s="44" customFormat="1" ht="32.25" customHeight="1" outlineLevel="2" x14ac:dyDescent="0.25">
      <c r="A996" s="10" t="s">
        <v>35</v>
      </c>
      <c r="B996" s="2" t="s">
        <v>1315</v>
      </c>
      <c r="C996" s="12" t="s">
        <v>39</v>
      </c>
      <c r="D996" s="2" t="s">
        <v>1344</v>
      </c>
      <c r="E996" s="104" t="s">
        <v>1949</v>
      </c>
      <c r="F996" s="68" t="s">
        <v>234</v>
      </c>
      <c r="G996" s="2" t="s">
        <v>1345</v>
      </c>
      <c r="H996" s="10" t="s">
        <v>38</v>
      </c>
      <c r="I996" s="5">
        <v>706057.31</v>
      </c>
      <c r="J996" s="5">
        <v>564845.85</v>
      </c>
      <c r="K996" s="10">
        <v>80</v>
      </c>
      <c r="L996" s="21">
        <f t="shared" si="64"/>
        <v>282422.92400000006</v>
      </c>
      <c r="M996" s="5"/>
      <c r="N996" s="107">
        <v>564845.85</v>
      </c>
      <c r="O996" s="120">
        <f t="shared" si="65"/>
        <v>282422.92400000006</v>
      </c>
      <c r="P996" s="92" t="s">
        <v>2609</v>
      </c>
      <c r="Q996" s="2" t="s">
        <v>2865</v>
      </c>
      <c r="R996" s="61"/>
    </row>
    <row r="997" spans="1:18" s="44" customFormat="1" ht="32.25" customHeight="1" outlineLevel="2" x14ac:dyDescent="0.25">
      <c r="A997" s="10" t="s">
        <v>35</v>
      </c>
      <c r="B997" s="2" t="s">
        <v>1315</v>
      </c>
      <c r="C997" s="12" t="s">
        <v>39</v>
      </c>
      <c r="D997" s="2" t="s">
        <v>1346</v>
      </c>
      <c r="E997" s="104" t="s">
        <v>1949</v>
      </c>
      <c r="F997" s="68" t="s">
        <v>1347</v>
      </c>
      <c r="G997" s="2" t="s">
        <v>1105</v>
      </c>
      <c r="H997" s="10" t="s">
        <v>38</v>
      </c>
      <c r="I997" s="5">
        <v>17321.560000000001</v>
      </c>
      <c r="J997" s="5">
        <v>13857.25</v>
      </c>
      <c r="K997" s="10">
        <v>80</v>
      </c>
      <c r="L997" s="21">
        <f t="shared" si="64"/>
        <v>6928.6240000000007</v>
      </c>
      <c r="M997" s="5"/>
      <c r="N997" s="107">
        <v>13857.25</v>
      </c>
      <c r="O997" s="120">
        <f t="shared" si="65"/>
        <v>6928.6240000000007</v>
      </c>
      <c r="P997" s="92" t="s">
        <v>2489</v>
      </c>
      <c r="Q997" s="2" t="s">
        <v>2864</v>
      </c>
      <c r="R997" s="61"/>
    </row>
    <row r="998" spans="1:18" s="44" customFormat="1" ht="32.25" customHeight="1" outlineLevel="2" x14ac:dyDescent="0.25">
      <c r="A998" s="10" t="s">
        <v>35</v>
      </c>
      <c r="B998" s="2" t="s">
        <v>1315</v>
      </c>
      <c r="C998" s="12" t="s">
        <v>39</v>
      </c>
      <c r="D998" s="2" t="s">
        <v>1348</v>
      </c>
      <c r="E998" s="104" t="s">
        <v>1949</v>
      </c>
      <c r="F998" s="68" t="s">
        <v>1340</v>
      </c>
      <c r="G998" s="2" t="s">
        <v>162</v>
      </c>
      <c r="H998" s="10" t="s">
        <v>38</v>
      </c>
      <c r="I998" s="5">
        <v>22446.84</v>
      </c>
      <c r="J998" s="5">
        <v>17957.47</v>
      </c>
      <c r="K998" s="10">
        <v>80</v>
      </c>
      <c r="L998" s="21">
        <f t="shared" si="64"/>
        <v>8978.7360000000008</v>
      </c>
      <c r="M998" s="5"/>
      <c r="N998" s="107">
        <v>17957.47</v>
      </c>
      <c r="O998" s="120">
        <f t="shared" si="65"/>
        <v>8978.7360000000008</v>
      </c>
      <c r="P998" s="92" t="s">
        <v>2489</v>
      </c>
      <c r="Q998" s="2" t="s">
        <v>2865</v>
      </c>
      <c r="R998" s="61"/>
    </row>
    <row r="999" spans="1:18" s="44" customFormat="1" ht="32.25" customHeight="1" outlineLevel="2" x14ac:dyDescent="0.25">
      <c r="A999" s="10" t="s">
        <v>35</v>
      </c>
      <c r="B999" s="2" t="s">
        <v>1315</v>
      </c>
      <c r="C999" s="12" t="s">
        <v>39</v>
      </c>
      <c r="D999" s="2" t="s">
        <v>1349</v>
      </c>
      <c r="E999" s="104" t="s">
        <v>1949</v>
      </c>
      <c r="F999" s="68" t="s">
        <v>1340</v>
      </c>
      <c r="G999" s="2" t="s">
        <v>162</v>
      </c>
      <c r="H999" s="10" t="s">
        <v>38</v>
      </c>
      <c r="I999" s="5">
        <v>2445065.5099999998</v>
      </c>
      <c r="J999" s="5">
        <v>1956052.41</v>
      </c>
      <c r="K999" s="10">
        <v>80</v>
      </c>
      <c r="L999" s="21">
        <f t="shared" si="64"/>
        <v>978026.20399999991</v>
      </c>
      <c r="M999" s="5"/>
      <c r="N999" s="107">
        <v>1956052.41</v>
      </c>
      <c r="O999" s="120">
        <f t="shared" si="65"/>
        <v>978026.20399999991</v>
      </c>
      <c r="P999" s="92" t="s">
        <v>2609</v>
      </c>
      <c r="Q999" s="2" t="s">
        <v>2865</v>
      </c>
      <c r="R999" s="61"/>
    </row>
    <row r="1000" spans="1:18" s="44" customFormat="1" ht="32.25" customHeight="1" outlineLevel="2" x14ac:dyDescent="0.25">
      <c r="A1000" s="10" t="s">
        <v>35</v>
      </c>
      <c r="B1000" s="2" t="s">
        <v>1315</v>
      </c>
      <c r="C1000" s="12" t="s">
        <v>39</v>
      </c>
      <c r="D1000" s="2" t="s">
        <v>1350</v>
      </c>
      <c r="E1000" s="104" t="s">
        <v>1949</v>
      </c>
      <c r="F1000" s="68" t="s">
        <v>1340</v>
      </c>
      <c r="G1000" s="2" t="s">
        <v>1351</v>
      </c>
      <c r="H1000" s="10" t="s">
        <v>38</v>
      </c>
      <c r="I1000" s="5">
        <v>10279.469999999999</v>
      </c>
      <c r="J1000" s="5">
        <v>8223.58</v>
      </c>
      <c r="K1000" s="10">
        <v>80</v>
      </c>
      <c r="L1000" s="21">
        <f t="shared" si="64"/>
        <v>4111.7879999999996</v>
      </c>
      <c r="M1000" s="5"/>
      <c r="N1000" s="107">
        <v>8223.58</v>
      </c>
      <c r="O1000" s="120">
        <f t="shared" si="65"/>
        <v>4111.7879999999996</v>
      </c>
      <c r="P1000" s="92" t="s">
        <v>2489</v>
      </c>
      <c r="Q1000" s="2" t="s">
        <v>2865</v>
      </c>
      <c r="R1000" s="61"/>
    </row>
    <row r="1001" spans="1:18" s="44" customFormat="1" ht="32.25" customHeight="1" outlineLevel="2" x14ac:dyDescent="0.25">
      <c r="A1001" s="10" t="s">
        <v>35</v>
      </c>
      <c r="B1001" s="2" t="s">
        <v>1315</v>
      </c>
      <c r="C1001" s="12" t="s">
        <v>39</v>
      </c>
      <c r="D1001" s="2" t="s">
        <v>1352</v>
      </c>
      <c r="E1001" s="104" t="s">
        <v>1949</v>
      </c>
      <c r="F1001" s="68" t="s">
        <v>234</v>
      </c>
      <c r="G1001" s="2" t="s">
        <v>1108</v>
      </c>
      <c r="H1001" s="10" t="s">
        <v>38</v>
      </c>
      <c r="I1001" s="5">
        <v>56972.54</v>
      </c>
      <c r="J1001" s="5">
        <v>45578.03</v>
      </c>
      <c r="K1001" s="10">
        <v>80</v>
      </c>
      <c r="L1001" s="21">
        <f t="shared" si="64"/>
        <v>22789.016000000003</v>
      </c>
      <c r="M1001" s="5"/>
      <c r="N1001" s="107">
        <v>45578.03</v>
      </c>
      <c r="O1001" s="120">
        <f t="shared" si="65"/>
        <v>22789.016000000003</v>
      </c>
      <c r="P1001" s="92" t="s">
        <v>2489</v>
      </c>
      <c r="Q1001" s="2" t="s">
        <v>2865</v>
      </c>
      <c r="R1001" s="61"/>
    </row>
    <row r="1002" spans="1:18" s="44" customFormat="1" ht="32.25" customHeight="1" outlineLevel="2" x14ac:dyDescent="0.25">
      <c r="A1002" s="10" t="s">
        <v>35</v>
      </c>
      <c r="B1002" s="2" t="s">
        <v>1315</v>
      </c>
      <c r="C1002" s="12" t="s">
        <v>39</v>
      </c>
      <c r="D1002" s="2" t="s">
        <v>1353</v>
      </c>
      <c r="E1002" s="104" t="s">
        <v>1949</v>
      </c>
      <c r="F1002" s="68" t="s">
        <v>234</v>
      </c>
      <c r="G1002" s="2" t="s">
        <v>706</v>
      </c>
      <c r="H1002" s="10" t="s">
        <v>38</v>
      </c>
      <c r="I1002" s="5">
        <v>3812256</v>
      </c>
      <c r="J1002" s="5">
        <v>3049804.8</v>
      </c>
      <c r="K1002" s="10">
        <v>80</v>
      </c>
      <c r="L1002" s="21">
        <f t="shared" si="64"/>
        <v>1524902.4000000001</v>
      </c>
      <c r="M1002" s="5"/>
      <c r="N1002" s="107">
        <v>3049804.8</v>
      </c>
      <c r="O1002" s="120">
        <f t="shared" si="65"/>
        <v>1524902.4000000001</v>
      </c>
      <c r="P1002" s="92" t="s">
        <v>2489</v>
      </c>
      <c r="Q1002" s="2" t="s">
        <v>2650</v>
      </c>
      <c r="R1002" s="61"/>
    </row>
    <row r="1003" spans="1:18" s="44" customFormat="1" ht="32.25" customHeight="1" outlineLevel="2" x14ac:dyDescent="0.25">
      <c r="A1003" s="10" t="s">
        <v>35</v>
      </c>
      <c r="B1003" s="2" t="s">
        <v>1315</v>
      </c>
      <c r="C1003" s="12" t="s">
        <v>39</v>
      </c>
      <c r="D1003" s="2" t="s">
        <v>1354</v>
      </c>
      <c r="E1003" s="104" t="s">
        <v>1949</v>
      </c>
      <c r="F1003" s="68" t="s">
        <v>234</v>
      </c>
      <c r="G1003" s="2" t="s">
        <v>1178</v>
      </c>
      <c r="H1003" s="10" t="s">
        <v>38</v>
      </c>
      <c r="I1003" s="5">
        <v>80459.88</v>
      </c>
      <c r="J1003" s="5">
        <v>64367.9</v>
      </c>
      <c r="K1003" s="10">
        <v>80</v>
      </c>
      <c r="L1003" s="21">
        <f t="shared" si="64"/>
        <v>32183.952000000005</v>
      </c>
      <c r="M1003" s="5"/>
      <c r="N1003" s="107">
        <v>64367.9</v>
      </c>
      <c r="O1003" s="120">
        <f t="shared" si="65"/>
        <v>32183.952000000005</v>
      </c>
      <c r="P1003" s="92" t="s">
        <v>2489</v>
      </c>
      <c r="Q1003" s="2" t="s">
        <v>2865</v>
      </c>
      <c r="R1003" s="61"/>
    </row>
    <row r="1004" spans="1:18" s="44" customFormat="1" ht="32.25" customHeight="1" outlineLevel="2" x14ac:dyDescent="0.25">
      <c r="A1004" s="10" t="s">
        <v>35</v>
      </c>
      <c r="B1004" s="2" t="s">
        <v>1315</v>
      </c>
      <c r="C1004" s="12" t="s">
        <v>39</v>
      </c>
      <c r="D1004" s="2" t="s">
        <v>1355</v>
      </c>
      <c r="E1004" s="104" t="s">
        <v>1949</v>
      </c>
      <c r="F1004" s="68" t="s">
        <v>234</v>
      </c>
      <c r="G1004" s="2" t="s">
        <v>1153</v>
      </c>
      <c r="H1004" s="10" t="s">
        <v>38</v>
      </c>
      <c r="I1004" s="5">
        <v>56395.27</v>
      </c>
      <c r="J1004" s="5">
        <v>45116.22</v>
      </c>
      <c r="K1004" s="10">
        <v>80</v>
      </c>
      <c r="L1004" s="21">
        <f t="shared" si="64"/>
        <v>22558.108</v>
      </c>
      <c r="M1004" s="5"/>
      <c r="N1004" s="107">
        <v>45116.22</v>
      </c>
      <c r="O1004" s="120">
        <f t="shared" si="65"/>
        <v>22558.108</v>
      </c>
      <c r="P1004" s="92" t="s">
        <v>2489</v>
      </c>
      <c r="Q1004" s="2" t="s">
        <v>2865</v>
      </c>
      <c r="R1004" s="61"/>
    </row>
    <row r="1005" spans="1:18" s="44" customFormat="1" ht="32.25" customHeight="1" outlineLevel="2" x14ac:dyDescent="0.25">
      <c r="A1005" s="10" t="s">
        <v>35</v>
      </c>
      <c r="B1005" s="2" t="s">
        <v>1315</v>
      </c>
      <c r="C1005" s="12" t="s">
        <v>39</v>
      </c>
      <c r="D1005" s="2" t="s">
        <v>1356</v>
      </c>
      <c r="E1005" s="104" t="s">
        <v>1949</v>
      </c>
      <c r="F1005" s="68" t="s">
        <v>234</v>
      </c>
      <c r="G1005" s="2" t="s">
        <v>776</v>
      </c>
      <c r="H1005" s="10" t="s">
        <v>38</v>
      </c>
      <c r="I1005" s="5">
        <v>123139.44</v>
      </c>
      <c r="J1005" s="5">
        <v>98511.55</v>
      </c>
      <c r="K1005" s="10">
        <v>80</v>
      </c>
      <c r="L1005" s="21">
        <f t="shared" si="64"/>
        <v>49255.776000000005</v>
      </c>
      <c r="M1005" s="5"/>
      <c r="N1005" s="107">
        <v>98511.55</v>
      </c>
      <c r="O1005" s="120">
        <f t="shared" si="65"/>
        <v>49255.776000000005</v>
      </c>
      <c r="P1005" s="92" t="s">
        <v>2609</v>
      </c>
      <c r="Q1005" s="2" t="s">
        <v>2865</v>
      </c>
      <c r="R1005" s="61"/>
    </row>
    <row r="1006" spans="1:18" s="44" customFormat="1" ht="32.25" customHeight="1" outlineLevel="2" x14ac:dyDescent="0.25">
      <c r="A1006" s="10" t="s">
        <v>35</v>
      </c>
      <c r="B1006" s="2" t="s">
        <v>1315</v>
      </c>
      <c r="C1006" s="12" t="s">
        <v>39</v>
      </c>
      <c r="D1006" s="2" t="s">
        <v>1357</v>
      </c>
      <c r="E1006" s="104" t="s">
        <v>1949</v>
      </c>
      <c r="F1006" s="68" t="s">
        <v>234</v>
      </c>
      <c r="G1006" s="2" t="s">
        <v>1358</v>
      </c>
      <c r="H1006" s="10" t="s">
        <v>38</v>
      </c>
      <c r="I1006" s="5">
        <v>15989841.869999999</v>
      </c>
      <c r="J1006" s="5">
        <v>12791873.5</v>
      </c>
      <c r="K1006" s="10">
        <v>80</v>
      </c>
      <c r="L1006" s="21">
        <f t="shared" si="64"/>
        <v>6395936.7479999997</v>
      </c>
      <c r="M1006" s="5"/>
      <c r="N1006" s="107">
        <v>12791873.5</v>
      </c>
      <c r="O1006" s="120">
        <f t="shared" si="65"/>
        <v>6395936.7479999997</v>
      </c>
      <c r="P1006" s="92" t="s">
        <v>2489</v>
      </c>
      <c r="Q1006" s="2" t="s">
        <v>2866</v>
      </c>
      <c r="R1006" s="61"/>
    </row>
    <row r="1007" spans="1:18" s="44" customFormat="1" ht="32.25" customHeight="1" outlineLevel="2" x14ac:dyDescent="0.25">
      <c r="A1007" s="10" t="s">
        <v>35</v>
      </c>
      <c r="B1007" s="2" t="s">
        <v>1315</v>
      </c>
      <c r="C1007" s="12" t="s">
        <v>39</v>
      </c>
      <c r="D1007" s="2" t="s">
        <v>1359</v>
      </c>
      <c r="E1007" s="104" t="s">
        <v>1949</v>
      </c>
      <c r="F1007" s="68" t="s">
        <v>234</v>
      </c>
      <c r="G1007" s="2" t="s">
        <v>321</v>
      </c>
      <c r="H1007" s="10" t="s">
        <v>38</v>
      </c>
      <c r="I1007" s="5">
        <v>54271.74</v>
      </c>
      <c r="J1007" s="5">
        <v>43417.39</v>
      </c>
      <c r="K1007" s="10">
        <v>80</v>
      </c>
      <c r="L1007" s="21">
        <f t="shared" si="64"/>
        <v>21708.696</v>
      </c>
      <c r="M1007" s="5"/>
      <c r="N1007" s="107">
        <v>43417.39</v>
      </c>
      <c r="O1007" s="120">
        <f t="shared" si="65"/>
        <v>21708.696</v>
      </c>
      <c r="P1007" s="92" t="s">
        <v>2609</v>
      </c>
      <c r="Q1007" s="2" t="s">
        <v>2865</v>
      </c>
      <c r="R1007" s="61"/>
    </row>
    <row r="1008" spans="1:18" s="44" customFormat="1" ht="32.25" customHeight="1" outlineLevel="2" x14ac:dyDescent="0.25">
      <c r="A1008" s="10" t="s">
        <v>35</v>
      </c>
      <c r="B1008" s="2" t="s">
        <v>1315</v>
      </c>
      <c r="C1008" s="12" t="s">
        <v>39</v>
      </c>
      <c r="D1008" s="2" t="s">
        <v>1360</v>
      </c>
      <c r="E1008" s="104" t="s">
        <v>1949</v>
      </c>
      <c r="F1008" s="68" t="s">
        <v>234</v>
      </c>
      <c r="G1008" s="2" t="s">
        <v>321</v>
      </c>
      <c r="H1008" s="10" t="s">
        <v>38</v>
      </c>
      <c r="I1008" s="5">
        <v>9657.1200000000008</v>
      </c>
      <c r="J1008" s="5">
        <v>7725.7</v>
      </c>
      <c r="K1008" s="10">
        <v>80</v>
      </c>
      <c r="L1008" s="21">
        <f t="shared" si="64"/>
        <v>3862.8480000000004</v>
      </c>
      <c r="M1008" s="5"/>
      <c r="N1008" s="107">
        <v>7725.7</v>
      </c>
      <c r="O1008" s="120">
        <f t="shared" si="65"/>
        <v>3862.8480000000004</v>
      </c>
      <c r="P1008" s="92" t="s">
        <v>2609</v>
      </c>
      <c r="Q1008" s="2" t="s">
        <v>2865</v>
      </c>
      <c r="R1008" s="61"/>
    </row>
    <row r="1009" spans="1:18" s="44" customFormat="1" ht="32.25" customHeight="1" outlineLevel="2" x14ac:dyDescent="0.25">
      <c r="A1009" s="10" t="s">
        <v>35</v>
      </c>
      <c r="B1009" s="2" t="s">
        <v>1315</v>
      </c>
      <c r="C1009" s="12" t="s">
        <v>39</v>
      </c>
      <c r="D1009" s="2" t="s">
        <v>1361</v>
      </c>
      <c r="E1009" s="104" t="s">
        <v>1949</v>
      </c>
      <c r="F1009" s="68" t="s">
        <v>234</v>
      </c>
      <c r="G1009" s="2" t="s">
        <v>1362</v>
      </c>
      <c r="H1009" s="10" t="s">
        <v>38</v>
      </c>
      <c r="I1009" s="5">
        <v>127841.15</v>
      </c>
      <c r="J1009" s="5">
        <v>102272.92</v>
      </c>
      <c r="K1009" s="10">
        <v>80</v>
      </c>
      <c r="L1009" s="21">
        <f t="shared" si="64"/>
        <v>51136.46</v>
      </c>
      <c r="M1009" s="5"/>
      <c r="N1009" s="107">
        <v>102272.92</v>
      </c>
      <c r="O1009" s="120">
        <f t="shared" si="65"/>
        <v>51136.46</v>
      </c>
      <c r="P1009" s="92" t="s">
        <v>2648</v>
      </c>
      <c r="Q1009" s="2" t="s">
        <v>2651</v>
      </c>
      <c r="R1009" s="61"/>
    </row>
    <row r="1010" spans="1:18" s="44" customFormat="1" ht="32.25" customHeight="1" outlineLevel="2" x14ac:dyDescent="0.25">
      <c r="A1010" s="10" t="s">
        <v>35</v>
      </c>
      <c r="B1010" s="2" t="s">
        <v>1315</v>
      </c>
      <c r="C1010" s="12" t="s">
        <v>39</v>
      </c>
      <c r="D1010" s="2" t="s">
        <v>1363</v>
      </c>
      <c r="E1010" s="104" t="s">
        <v>1949</v>
      </c>
      <c r="F1010" s="68" t="s">
        <v>234</v>
      </c>
      <c r="G1010" s="2" t="s">
        <v>147</v>
      </c>
      <c r="H1010" s="10" t="s">
        <v>38</v>
      </c>
      <c r="I1010" s="5">
        <v>9719.6200000000008</v>
      </c>
      <c r="J1010" s="5">
        <v>7775.7</v>
      </c>
      <c r="K1010" s="10">
        <v>80</v>
      </c>
      <c r="L1010" s="21">
        <f t="shared" si="64"/>
        <v>3887.8480000000004</v>
      </c>
      <c r="M1010" s="5"/>
      <c r="N1010" s="107">
        <v>7775.7</v>
      </c>
      <c r="O1010" s="120">
        <f t="shared" si="65"/>
        <v>3887.8480000000004</v>
      </c>
      <c r="P1010" s="92" t="s">
        <v>2609</v>
      </c>
      <c r="Q1010" s="2" t="s">
        <v>2867</v>
      </c>
      <c r="R1010" s="61"/>
    </row>
    <row r="1011" spans="1:18" s="44" customFormat="1" ht="32.25" customHeight="1" outlineLevel="2" x14ac:dyDescent="0.25">
      <c r="A1011" s="10" t="s">
        <v>35</v>
      </c>
      <c r="B1011" s="2" t="s">
        <v>1315</v>
      </c>
      <c r="C1011" s="12" t="s">
        <v>39</v>
      </c>
      <c r="D1011" s="2" t="s">
        <v>1364</v>
      </c>
      <c r="E1011" s="104" t="s">
        <v>1949</v>
      </c>
      <c r="F1011" s="68" t="s">
        <v>234</v>
      </c>
      <c r="G1011" s="2" t="s">
        <v>115</v>
      </c>
      <c r="H1011" s="10" t="s">
        <v>38</v>
      </c>
      <c r="I1011" s="5">
        <v>93744</v>
      </c>
      <c r="J1011" s="5">
        <v>74995.199999999997</v>
      </c>
      <c r="K1011" s="10">
        <v>80</v>
      </c>
      <c r="L1011" s="21">
        <f t="shared" si="64"/>
        <v>37497.599999999999</v>
      </c>
      <c r="M1011" s="5"/>
      <c r="N1011" s="107">
        <v>74995.199999999997</v>
      </c>
      <c r="O1011" s="120">
        <f t="shared" si="65"/>
        <v>37497.599999999999</v>
      </c>
      <c r="P1011" s="92"/>
      <c r="Q1011" s="2" t="s">
        <v>2652</v>
      </c>
      <c r="R1011" s="61"/>
    </row>
    <row r="1012" spans="1:18" s="44" customFormat="1" ht="32.25" customHeight="1" outlineLevel="2" x14ac:dyDescent="0.25">
      <c r="A1012" s="10" t="s">
        <v>35</v>
      </c>
      <c r="B1012" s="2" t="s">
        <v>1315</v>
      </c>
      <c r="C1012" s="12" t="s">
        <v>39</v>
      </c>
      <c r="D1012" s="2" t="s">
        <v>1365</v>
      </c>
      <c r="E1012" s="104" t="s">
        <v>1949</v>
      </c>
      <c r="F1012" s="68" t="s">
        <v>234</v>
      </c>
      <c r="G1012" s="2" t="s">
        <v>240</v>
      </c>
      <c r="H1012" s="10" t="s">
        <v>38</v>
      </c>
      <c r="I1012" s="5">
        <v>37150.400000000001</v>
      </c>
      <c r="J1012" s="5">
        <v>29720.32</v>
      </c>
      <c r="K1012" s="10">
        <v>80</v>
      </c>
      <c r="L1012" s="21">
        <f t="shared" si="64"/>
        <v>14860.160000000002</v>
      </c>
      <c r="M1012" s="5"/>
      <c r="N1012" s="107">
        <v>29720.32</v>
      </c>
      <c r="O1012" s="120">
        <f t="shared" si="65"/>
        <v>14860.160000000002</v>
      </c>
      <c r="P1012" s="92" t="s">
        <v>2632</v>
      </c>
      <c r="Q1012" s="2" t="s">
        <v>2868</v>
      </c>
      <c r="R1012" s="61"/>
    </row>
    <row r="1013" spans="1:18" s="44" customFormat="1" ht="32.25" customHeight="1" outlineLevel="2" x14ac:dyDescent="0.25">
      <c r="A1013" s="10" t="s">
        <v>35</v>
      </c>
      <c r="B1013" s="2" t="s">
        <v>1315</v>
      </c>
      <c r="C1013" s="12" t="s">
        <v>39</v>
      </c>
      <c r="D1013" s="2" t="s">
        <v>1366</v>
      </c>
      <c r="E1013" s="104" t="s">
        <v>1949</v>
      </c>
      <c r="F1013" s="68" t="s">
        <v>234</v>
      </c>
      <c r="G1013" s="2" t="s">
        <v>251</v>
      </c>
      <c r="H1013" s="10" t="s">
        <v>38</v>
      </c>
      <c r="I1013" s="5">
        <v>7543732.5</v>
      </c>
      <c r="J1013" s="5">
        <v>6034986</v>
      </c>
      <c r="K1013" s="10">
        <v>80</v>
      </c>
      <c r="L1013" s="21">
        <f t="shared" si="64"/>
        <v>3017493</v>
      </c>
      <c r="M1013" s="5"/>
      <c r="N1013" s="107">
        <v>6034986</v>
      </c>
      <c r="O1013" s="120">
        <f t="shared" si="65"/>
        <v>3017493</v>
      </c>
      <c r="P1013" s="92" t="s">
        <v>2490</v>
      </c>
      <c r="Q1013" s="2" t="s">
        <v>2401</v>
      </c>
      <c r="R1013" s="61"/>
    </row>
    <row r="1014" spans="1:18" s="44" customFormat="1" ht="32.25" customHeight="1" outlineLevel="2" x14ac:dyDescent="0.25">
      <c r="A1014" s="10" t="s">
        <v>35</v>
      </c>
      <c r="B1014" s="2" t="s">
        <v>1315</v>
      </c>
      <c r="C1014" s="12" t="s">
        <v>39</v>
      </c>
      <c r="D1014" s="2" t="s">
        <v>1367</v>
      </c>
      <c r="E1014" s="104" t="s">
        <v>1949</v>
      </c>
      <c r="F1014" s="68" t="s">
        <v>234</v>
      </c>
      <c r="G1014" s="2" t="s">
        <v>254</v>
      </c>
      <c r="H1014" s="10" t="s">
        <v>38</v>
      </c>
      <c r="I1014" s="5">
        <v>1255569.26</v>
      </c>
      <c r="J1014" s="5">
        <v>1004455.41</v>
      </c>
      <c r="K1014" s="10">
        <v>80</v>
      </c>
      <c r="L1014" s="21">
        <f t="shared" si="64"/>
        <v>502227.70400000003</v>
      </c>
      <c r="M1014" s="5"/>
      <c r="N1014" s="107">
        <v>1004455.41</v>
      </c>
      <c r="O1014" s="120">
        <f t="shared" si="65"/>
        <v>502227.70400000003</v>
      </c>
      <c r="P1014" s="92" t="s">
        <v>2490</v>
      </c>
      <c r="Q1014" s="2" t="s">
        <v>2401</v>
      </c>
      <c r="R1014" s="61"/>
    </row>
    <row r="1015" spans="1:18" s="44" customFormat="1" ht="32.25" customHeight="1" outlineLevel="2" x14ac:dyDescent="0.25">
      <c r="A1015" s="10" t="s">
        <v>35</v>
      </c>
      <c r="B1015" s="2" t="s">
        <v>1315</v>
      </c>
      <c r="C1015" s="12" t="s">
        <v>39</v>
      </c>
      <c r="D1015" s="2" t="s">
        <v>1368</v>
      </c>
      <c r="E1015" s="104" t="s">
        <v>1949</v>
      </c>
      <c r="F1015" s="68" t="s">
        <v>234</v>
      </c>
      <c r="G1015" s="2" t="s">
        <v>254</v>
      </c>
      <c r="H1015" s="10" t="s">
        <v>38</v>
      </c>
      <c r="I1015" s="5">
        <v>676086.67</v>
      </c>
      <c r="J1015" s="5">
        <v>540869.34</v>
      </c>
      <c r="K1015" s="10">
        <v>80</v>
      </c>
      <c r="L1015" s="21">
        <f t="shared" si="64"/>
        <v>270434.66800000001</v>
      </c>
      <c r="M1015" s="5"/>
      <c r="N1015" s="107">
        <v>540869.34</v>
      </c>
      <c r="O1015" s="120">
        <f t="shared" si="65"/>
        <v>270434.66800000001</v>
      </c>
      <c r="P1015" s="92" t="s">
        <v>2490</v>
      </c>
      <c r="Q1015" s="2" t="s">
        <v>2401</v>
      </c>
      <c r="R1015" s="61"/>
    </row>
    <row r="1016" spans="1:18" s="44" customFormat="1" ht="32.25" customHeight="1" outlineLevel="2" x14ac:dyDescent="0.25">
      <c r="A1016" s="10" t="s">
        <v>35</v>
      </c>
      <c r="B1016" s="2" t="s">
        <v>1315</v>
      </c>
      <c r="C1016" s="12" t="s">
        <v>39</v>
      </c>
      <c r="D1016" s="2" t="s">
        <v>1369</v>
      </c>
      <c r="E1016" s="104" t="s">
        <v>1949</v>
      </c>
      <c r="F1016" s="68" t="s">
        <v>234</v>
      </c>
      <c r="G1016" s="2" t="s">
        <v>1370</v>
      </c>
      <c r="H1016" s="10" t="s">
        <v>38</v>
      </c>
      <c r="I1016" s="5">
        <v>2696423.4</v>
      </c>
      <c r="J1016" s="5">
        <v>2157138.7200000002</v>
      </c>
      <c r="K1016" s="10">
        <v>80</v>
      </c>
      <c r="L1016" s="21">
        <f t="shared" si="64"/>
        <v>1078569.3600000001</v>
      </c>
      <c r="M1016" s="5"/>
      <c r="N1016" s="107">
        <v>2157138.7200000002</v>
      </c>
      <c r="O1016" s="120">
        <f t="shared" si="65"/>
        <v>1078569.3600000001</v>
      </c>
      <c r="P1016" s="92"/>
      <c r="Q1016" s="2" t="s">
        <v>2403</v>
      </c>
      <c r="R1016" s="61"/>
    </row>
    <row r="1017" spans="1:18" s="44" customFormat="1" ht="32.25" customHeight="1" outlineLevel="2" x14ac:dyDescent="0.25">
      <c r="A1017" s="10" t="s">
        <v>35</v>
      </c>
      <c r="B1017" s="2" t="s">
        <v>1315</v>
      </c>
      <c r="C1017" s="12" t="s">
        <v>39</v>
      </c>
      <c r="D1017" s="2" t="s">
        <v>1371</v>
      </c>
      <c r="E1017" s="104" t="s">
        <v>1949</v>
      </c>
      <c r="F1017" s="68" t="s">
        <v>234</v>
      </c>
      <c r="G1017" s="2" t="s">
        <v>1372</v>
      </c>
      <c r="H1017" s="10" t="s">
        <v>38</v>
      </c>
      <c r="I1017" s="5">
        <v>540265.51</v>
      </c>
      <c r="J1017" s="5">
        <v>432212.41</v>
      </c>
      <c r="K1017" s="10">
        <v>80</v>
      </c>
      <c r="L1017" s="21">
        <f t="shared" si="64"/>
        <v>216106.20400000003</v>
      </c>
      <c r="M1017" s="5"/>
      <c r="N1017" s="107">
        <v>432212.41</v>
      </c>
      <c r="O1017" s="120">
        <f t="shared" si="65"/>
        <v>216106.20400000003</v>
      </c>
      <c r="P1017" s="92"/>
      <c r="Q1017" s="2"/>
      <c r="R1017" s="61"/>
    </row>
    <row r="1018" spans="1:18" s="44" customFormat="1" ht="32.25" customHeight="1" outlineLevel="2" x14ac:dyDescent="0.25">
      <c r="A1018" s="10" t="s">
        <v>35</v>
      </c>
      <c r="B1018" s="2" t="s">
        <v>1315</v>
      </c>
      <c r="C1018" s="12" t="s">
        <v>39</v>
      </c>
      <c r="D1018" s="2" t="s">
        <v>1373</v>
      </c>
      <c r="E1018" s="104" t="s">
        <v>1949</v>
      </c>
      <c r="F1018" s="68" t="s">
        <v>234</v>
      </c>
      <c r="G1018" s="2" t="s">
        <v>584</v>
      </c>
      <c r="H1018" s="10" t="s">
        <v>38</v>
      </c>
      <c r="I1018" s="5">
        <v>3924832.13</v>
      </c>
      <c r="J1018" s="5">
        <v>3139865.7</v>
      </c>
      <c r="K1018" s="10">
        <v>80</v>
      </c>
      <c r="L1018" s="21">
        <f t="shared" si="64"/>
        <v>1569932.852</v>
      </c>
      <c r="M1018" s="5"/>
      <c r="N1018" s="107">
        <v>3139865.7</v>
      </c>
      <c r="O1018" s="120">
        <f t="shared" si="65"/>
        <v>1569932.852</v>
      </c>
      <c r="P1018" s="92"/>
      <c r="Q1018" s="2"/>
      <c r="R1018" s="61"/>
    </row>
    <row r="1019" spans="1:18" s="44" customFormat="1" ht="32.25" customHeight="1" outlineLevel="2" x14ac:dyDescent="0.25">
      <c r="A1019" s="10" t="s">
        <v>35</v>
      </c>
      <c r="B1019" s="2" t="s">
        <v>1315</v>
      </c>
      <c r="C1019" s="12" t="s">
        <v>39</v>
      </c>
      <c r="D1019" s="2" t="s">
        <v>1374</v>
      </c>
      <c r="E1019" s="104" t="s">
        <v>1949</v>
      </c>
      <c r="F1019" s="68" t="s">
        <v>234</v>
      </c>
      <c r="G1019" s="2" t="s">
        <v>1375</v>
      </c>
      <c r="H1019" s="10" t="s">
        <v>38</v>
      </c>
      <c r="I1019" s="5">
        <v>46786.81</v>
      </c>
      <c r="J1019" s="5">
        <v>37429.449999999997</v>
      </c>
      <c r="K1019" s="10">
        <v>80</v>
      </c>
      <c r="L1019" s="21">
        <f t="shared" si="64"/>
        <v>18714.723999999998</v>
      </c>
      <c r="M1019" s="5"/>
      <c r="N1019" s="107">
        <v>37429.449999999997</v>
      </c>
      <c r="O1019" s="120">
        <f t="shared" si="65"/>
        <v>18714.723999999998</v>
      </c>
      <c r="P1019" s="92"/>
      <c r="Q1019" s="2"/>
      <c r="R1019" s="61"/>
    </row>
    <row r="1020" spans="1:18" s="44" customFormat="1" ht="32.25" customHeight="1" outlineLevel="2" x14ac:dyDescent="0.25">
      <c r="A1020" s="10" t="s">
        <v>35</v>
      </c>
      <c r="B1020" s="2" t="s">
        <v>1315</v>
      </c>
      <c r="C1020" s="12" t="s">
        <v>39</v>
      </c>
      <c r="D1020" s="2" t="s">
        <v>1376</v>
      </c>
      <c r="E1020" s="104" t="s">
        <v>1949</v>
      </c>
      <c r="F1020" s="68" t="s">
        <v>1377</v>
      </c>
      <c r="G1020" s="2" t="s">
        <v>438</v>
      </c>
      <c r="H1020" s="10" t="s">
        <v>38</v>
      </c>
      <c r="I1020" s="5">
        <v>20832</v>
      </c>
      <c r="J1020" s="5">
        <v>16665.599999999999</v>
      </c>
      <c r="K1020" s="10">
        <v>80</v>
      </c>
      <c r="L1020" s="21">
        <f t="shared" si="64"/>
        <v>8332.8000000000011</v>
      </c>
      <c r="M1020" s="5"/>
      <c r="N1020" s="107">
        <v>16665.599999999999</v>
      </c>
      <c r="O1020" s="120">
        <f t="shared" si="65"/>
        <v>8332.8000000000011</v>
      </c>
      <c r="P1020" s="92"/>
      <c r="Q1020" s="2"/>
      <c r="R1020" s="61"/>
    </row>
    <row r="1021" spans="1:18" s="44" customFormat="1" ht="32.25" customHeight="1" outlineLevel="2" x14ac:dyDescent="0.25">
      <c r="A1021" s="10" t="s">
        <v>35</v>
      </c>
      <c r="B1021" s="2" t="s">
        <v>1315</v>
      </c>
      <c r="C1021" s="12" t="s">
        <v>39</v>
      </c>
      <c r="D1021" s="2" t="s">
        <v>1378</v>
      </c>
      <c r="E1021" s="104" t="s">
        <v>1949</v>
      </c>
      <c r="F1021" s="68" t="s">
        <v>234</v>
      </c>
      <c r="G1021" s="2" t="s">
        <v>63</v>
      </c>
      <c r="H1021" s="10" t="s">
        <v>38</v>
      </c>
      <c r="I1021" s="5">
        <v>127766.33</v>
      </c>
      <c r="J1021" s="5">
        <v>102213.06</v>
      </c>
      <c r="K1021" s="10">
        <v>80</v>
      </c>
      <c r="L1021" s="21">
        <f t="shared" si="64"/>
        <v>51106.532000000007</v>
      </c>
      <c r="M1021" s="5"/>
      <c r="N1021" s="107">
        <v>102213.06</v>
      </c>
      <c r="O1021" s="120">
        <f t="shared" si="65"/>
        <v>51106.532000000007</v>
      </c>
      <c r="P1021" s="92"/>
      <c r="Q1021" s="2"/>
      <c r="R1021" s="61"/>
    </row>
    <row r="1022" spans="1:18" s="44" customFormat="1" ht="32.25" customHeight="1" outlineLevel="2" x14ac:dyDescent="0.25">
      <c r="A1022" s="10" t="s">
        <v>35</v>
      </c>
      <c r="B1022" s="2" t="s">
        <v>1315</v>
      </c>
      <c r="C1022" s="12" t="s">
        <v>39</v>
      </c>
      <c r="D1022" s="2" t="s">
        <v>1379</v>
      </c>
      <c r="E1022" s="104" t="s">
        <v>1949</v>
      </c>
      <c r="F1022" s="68" t="s">
        <v>234</v>
      </c>
      <c r="G1022" s="2" t="s">
        <v>460</v>
      </c>
      <c r="H1022" s="10" t="s">
        <v>38</v>
      </c>
      <c r="I1022" s="5">
        <v>63939.360000000001</v>
      </c>
      <c r="J1022" s="5">
        <v>51151.49</v>
      </c>
      <c r="K1022" s="10">
        <v>80</v>
      </c>
      <c r="L1022" s="21">
        <f t="shared" si="64"/>
        <v>25575.744000000002</v>
      </c>
      <c r="M1022" s="5"/>
      <c r="N1022" s="107">
        <v>51151.49</v>
      </c>
      <c r="O1022" s="120">
        <f t="shared" si="65"/>
        <v>25575.744000000002</v>
      </c>
      <c r="P1022" s="92"/>
      <c r="Q1022" s="2"/>
      <c r="R1022" s="61"/>
    </row>
    <row r="1023" spans="1:18" s="44" customFormat="1" ht="32.25" customHeight="1" outlineLevel="2" x14ac:dyDescent="0.25">
      <c r="A1023" s="10" t="s">
        <v>35</v>
      </c>
      <c r="B1023" s="2" t="s">
        <v>1315</v>
      </c>
      <c r="C1023" s="12" t="s">
        <v>39</v>
      </c>
      <c r="D1023" s="2" t="s">
        <v>1380</v>
      </c>
      <c r="E1023" s="104" t="s">
        <v>1949</v>
      </c>
      <c r="F1023" s="68" t="s">
        <v>234</v>
      </c>
      <c r="G1023" s="2" t="s">
        <v>1381</v>
      </c>
      <c r="H1023" s="10" t="s">
        <v>38</v>
      </c>
      <c r="I1023" s="5">
        <v>29295</v>
      </c>
      <c r="J1023" s="5">
        <v>23436</v>
      </c>
      <c r="K1023" s="10">
        <v>80</v>
      </c>
      <c r="L1023" s="21">
        <f t="shared" si="64"/>
        <v>11718</v>
      </c>
      <c r="M1023" s="5"/>
      <c r="N1023" s="107">
        <v>23436</v>
      </c>
      <c r="O1023" s="120">
        <f t="shared" si="65"/>
        <v>11718</v>
      </c>
      <c r="P1023" s="92"/>
      <c r="Q1023" s="2"/>
      <c r="R1023" s="61"/>
    </row>
    <row r="1024" spans="1:18" s="44" customFormat="1" ht="32.25" customHeight="1" outlineLevel="2" x14ac:dyDescent="0.25">
      <c r="A1024" s="10" t="s">
        <v>35</v>
      </c>
      <c r="B1024" s="2" t="s">
        <v>1315</v>
      </c>
      <c r="C1024" s="12" t="s">
        <v>39</v>
      </c>
      <c r="D1024" s="2" t="s">
        <v>1382</v>
      </c>
      <c r="E1024" s="104" t="s">
        <v>1949</v>
      </c>
      <c r="F1024" s="68" t="s">
        <v>234</v>
      </c>
      <c r="G1024" s="2" t="s">
        <v>1383</v>
      </c>
      <c r="H1024" s="10" t="s">
        <v>38</v>
      </c>
      <c r="I1024" s="5">
        <v>281525.51</v>
      </c>
      <c r="J1024" s="5">
        <v>225220.41</v>
      </c>
      <c r="K1024" s="10">
        <v>80</v>
      </c>
      <c r="L1024" s="21">
        <f t="shared" si="64"/>
        <v>112610.20400000001</v>
      </c>
      <c r="M1024" s="5"/>
      <c r="N1024" s="107">
        <v>225220.41</v>
      </c>
      <c r="O1024" s="120">
        <f t="shared" si="65"/>
        <v>112610.20400000001</v>
      </c>
      <c r="P1024" s="92"/>
      <c r="Q1024" s="2"/>
      <c r="R1024" s="61"/>
    </row>
    <row r="1025" spans="1:18" s="44" customFormat="1" ht="32.25" customHeight="1" outlineLevel="2" x14ac:dyDescent="0.25">
      <c r="A1025" s="10" t="s">
        <v>35</v>
      </c>
      <c r="B1025" s="2" t="s">
        <v>1315</v>
      </c>
      <c r="C1025" s="12" t="s">
        <v>39</v>
      </c>
      <c r="D1025" s="2" t="s">
        <v>1384</v>
      </c>
      <c r="E1025" s="104" t="s">
        <v>1949</v>
      </c>
      <c r="F1025" s="68" t="s">
        <v>234</v>
      </c>
      <c r="G1025" s="2" t="s">
        <v>1385</v>
      </c>
      <c r="H1025" s="10" t="s">
        <v>38</v>
      </c>
      <c r="I1025" s="5">
        <v>143030.95000000001</v>
      </c>
      <c r="J1025" s="5">
        <v>114424.76</v>
      </c>
      <c r="K1025" s="10">
        <v>80</v>
      </c>
      <c r="L1025" s="21">
        <f t="shared" si="64"/>
        <v>57212.380000000005</v>
      </c>
      <c r="M1025" s="5"/>
      <c r="N1025" s="107">
        <v>114424.76</v>
      </c>
      <c r="O1025" s="120">
        <f t="shared" si="65"/>
        <v>57212.380000000005</v>
      </c>
      <c r="P1025" s="92"/>
      <c r="Q1025" s="2"/>
      <c r="R1025" s="61"/>
    </row>
    <row r="1026" spans="1:18" s="44" customFormat="1" ht="32.25" customHeight="1" outlineLevel="2" x14ac:dyDescent="0.25">
      <c r="A1026" s="10" t="s">
        <v>35</v>
      </c>
      <c r="B1026" s="2" t="s">
        <v>1315</v>
      </c>
      <c r="C1026" s="12" t="s">
        <v>39</v>
      </c>
      <c r="D1026" s="2" t="s">
        <v>1386</v>
      </c>
      <c r="E1026" s="104" t="s">
        <v>1949</v>
      </c>
      <c r="F1026" s="68" t="s">
        <v>234</v>
      </c>
      <c r="G1026" s="2" t="s">
        <v>181</v>
      </c>
      <c r="H1026" s="10" t="s">
        <v>38</v>
      </c>
      <c r="I1026" s="5">
        <v>130047.48</v>
      </c>
      <c r="J1026" s="5">
        <v>104037.98</v>
      </c>
      <c r="K1026" s="10">
        <v>80</v>
      </c>
      <c r="L1026" s="21">
        <f t="shared" si="64"/>
        <v>52018.991999999998</v>
      </c>
      <c r="M1026" s="5"/>
      <c r="N1026" s="107">
        <v>104037.98</v>
      </c>
      <c r="O1026" s="120">
        <f t="shared" si="65"/>
        <v>52018.991999999998</v>
      </c>
      <c r="P1026" s="92"/>
      <c r="Q1026" s="2"/>
      <c r="R1026" s="61"/>
    </row>
    <row r="1027" spans="1:18" s="44" customFormat="1" ht="32.25" customHeight="1" outlineLevel="2" x14ac:dyDescent="0.25">
      <c r="A1027" s="10" t="s">
        <v>35</v>
      </c>
      <c r="B1027" s="2" t="s">
        <v>1315</v>
      </c>
      <c r="C1027" s="12" t="s">
        <v>39</v>
      </c>
      <c r="D1027" s="2" t="s">
        <v>1387</v>
      </c>
      <c r="E1027" s="104" t="s">
        <v>1949</v>
      </c>
      <c r="F1027" s="68" t="s">
        <v>234</v>
      </c>
      <c r="G1027" s="2" t="s">
        <v>457</v>
      </c>
      <c r="H1027" s="10" t="s">
        <v>38</v>
      </c>
      <c r="I1027" s="5">
        <v>224354.26</v>
      </c>
      <c r="J1027" s="5">
        <v>179483.41</v>
      </c>
      <c r="K1027" s="10">
        <v>80</v>
      </c>
      <c r="L1027" s="21">
        <f t="shared" si="64"/>
        <v>89741.704000000012</v>
      </c>
      <c r="M1027" s="5"/>
      <c r="N1027" s="107">
        <v>179483.41</v>
      </c>
      <c r="O1027" s="120">
        <f t="shared" si="65"/>
        <v>89741.704000000012</v>
      </c>
      <c r="P1027" s="92"/>
      <c r="Q1027" s="2"/>
      <c r="R1027" s="61"/>
    </row>
    <row r="1028" spans="1:18" s="44" customFormat="1" ht="32.25" customHeight="1" outlineLevel="2" x14ac:dyDescent="0.25">
      <c r="A1028" s="10" t="s">
        <v>35</v>
      </c>
      <c r="B1028" s="2" t="s">
        <v>1315</v>
      </c>
      <c r="C1028" s="12" t="s">
        <v>39</v>
      </c>
      <c r="D1028" s="2" t="s">
        <v>1389</v>
      </c>
      <c r="E1028" s="104" t="s">
        <v>1949</v>
      </c>
      <c r="F1028" s="68" t="s">
        <v>234</v>
      </c>
      <c r="G1028" s="2" t="s">
        <v>674</v>
      </c>
      <c r="H1028" s="10" t="s">
        <v>38</v>
      </c>
      <c r="I1028" s="5">
        <v>341062.62</v>
      </c>
      <c r="J1028" s="5">
        <v>272850.09999999998</v>
      </c>
      <c r="K1028" s="10">
        <v>80</v>
      </c>
      <c r="L1028" s="21">
        <f t="shared" ref="L1028:L1034" si="66">I1028*40%</f>
        <v>136425.04800000001</v>
      </c>
      <c r="M1028" s="5"/>
      <c r="N1028" s="107">
        <v>272850.09999999998</v>
      </c>
      <c r="O1028" s="120">
        <f t="shared" ref="O1028:O1034" si="67">L1028-M1028</f>
        <v>136425.04800000001</v>
      </c>
      <c r="P1028" s="92"/>
      <c r="Q1028" s="2" t="s">
        <v>2869</v>
      </c>
      <c r="R1028" s="61"/>
    </row>
    <row r="1029" spans="1:18" s="44" customFormat="1" ht="32.25" customHeight="1" outlineLevel="2" x14ac:dyDescent="0.25">
      <c r="A1029" s="10" t="s">
        <v>35</v>
      </c>
      <c r="B1029" s="2" t="s">
        <v>1635</v>
      </c>
      <c r="C1029" s="12" t="s">
        <v>39</v>
      </c>
      <c r="D1029" s="2" t="s">
        <v>1637</v>
      </c>
      <c r="E1029" s="104" t="s">
        <v>1949</v>
      </c>
      <c r="F1029" s="68" t="s">
        <v>234</v>
      </c>
      <c r="G1029" s="2" t="s">
        <v>1638</v>
      </c>
      <c r="H1029" s="10" t="s">
        <v>38</v>
      </c>
      <c r="I1029" s="5">
        <v>71208.84</v>
      </c>
      <c r="J1029" s="5">
        <v>56967.07</v>
      </c>
      <c r="K1029" s="10">
        <v>80</v>
      </c>
      <c r="L1029" s="21">
        <f t="shared" si="66"/>
        <v>28483.536</v>
      </c>
      <c r="M1029" s="5"/>
      <c r="N1029" s="107">
        <v>56967.07</v>
      </c>
      <c r="O1029" s="120">
        <f t="shared" si="67"/>
        <v>28483.536</v>
      </c>
      <c r="P1029" s="92"/>
      <c r="Q1029" s="2"/>
      <c r="R1029" s="61"/>
    </row>
    <row r="1030" spans="1:18" s="44" customFormat="1" ht="32.25" customHeight="1" outlineLevel="2" x14ac:dyDescent="0.25">
      <c r="A1030" s="10" t="s">
        <v>35</v>
      </c>
      <c r="B1030" s="2" t="s">
        <v>1727</v>
      </c>
      <c r="C1030" s="12" t="s">
        <v>39</v>
      </c>
      <c r="D1030" s="2" t="s">
        <v>1728</v>
      </c>
      <c r="E1030" s="104" t="s">
        <v>1949</v>
      </c>
      <c r="F1030" s="68" t="s">
        <v>234</v>
      </c>
      <c r="G1030" s="2" t="s">
        <v>1729</v>
      </c>
      <c r="H1030" s="10" t="s">
        <v>38</v>
      </c>
      <c r="I1030" s="5">
        <v>1915.8</v>
      </c>
      <c r="J1030" s="5">
        <v>1532.64</v>
      </c>
      <c r="K1030" s="10">
        <v>80</v>
      </c>
      <c r="L1030" s="21">
        <f t="shared" si="66"/>
        <v>766.32</v>
      </c>
      <c r="M1030" s="5"/>
      <c r="N1030" s="107">
        <v>1532.64</v>
      </c>
      <c r="O1030" s="120">
        <f t="shared" si="67"/>
        <v>766.32</v>
      </c>
      <c r="P1030" s="93"/>
      <c r="Q1030" s="2"/>
      <c r="R1030" s="61"/>
    </row>
    <row r="1031" spans="1:18" s="44" customFormat="1" ht="32.25" customHeight="1" outlineLevel="2" x14ac:dyDescent="0.25">
      <c r="A1031" s="10" t="s">
        <v>35</v>
      </c>
      <c r="B1031" s="2" t="s">
        <v>1730</v>
      </c>
      <c r="C1031" s="12" t="s">
        <v>39</v>
      </c>
      <c r="D1031" s="2" t="s">
        <v>486</v>
      </c>
      <c r="E1031" s="104" t="s">
        <v>1949</v>
      </c>
      <c r="F1031" s="68" t="s">
        <v>234</v>
      </c>
      <c r="G1031" s="2" t="s">
        <v>485</v>
      </c>
      <c r="H1031" s="10" t="s">
        <v>38</v>
      </c>
      <c r="I1031" s="5">
        <v>334227.86</v>
      </c>
      <c r="J1031" s="5">
        <v>267382.28999999998</v>
      </c>
      <c r="K1031" s="10">
        <v>80</v>
      </c>
      <c r="L1031" s="21">
        <f t="shared" si="66"/>
        <v>133691.144</v>
      </c>
      <c r="M1031" s="5"/>
      <c r="N1031" s="107">
        <v>267382.28999999998</v>
      </c>
      <c r="O1031" s="120">
        <f t="shared" si="67"/>
        <v>133691.144</v>
      </c>
      <c r="P1031" s="93" t="s">
        <v>2498</v>
      </c>
      <c r="Q1031" s="2" t="s">
        <v>2500</v>
      </c>
      <c r="R1031" s="61"/>
    </row>
    <row r="1032" spans="1:18" s="44" customFormat="1" ht="32.25" customHeight="1" outlineLevel="2" x14ac:dyDescent="0.25">
      <c r="A1032" s="10" t="s">
        <v>35</v>
      </c>
      <c r="B1032" s="2" t="s">
        <v>1753</v>
      </c>
      <c r="C1032" s="12" t="s">
        <v>39</v>
      </c>
      <c r="D1032" s="2" t="s">
        <v>1755</v>
      </c>
      <c r="E1032" s="104" t="s">
        <v>1949</v>
      </c>
      <c r="F1032" s="68" t="s">
        <v>234</v>
      </c>
      <c r="G1032" s="2" t="s">
        <v>258</v>
      </c>
      <c r="H1032" s="10" t="s">
        <v>38</v>
      </c>
      <c r="I1032" s="5">
        <v>1105519.78</v>
      </c>
      <c r="J1032" s="5">
        <v>884415.82</v>
      </c>
      <c r="K1032" s="10">
        <v>80</v>
      </c>
      <c r="L1032" s="21">
        <f t="shared" si="66"/>
        <v>442207.91200000001</v>
      </c>
      <c r="M1032" s="5"/>
      <c r="N1032" s="107">
        <v>884415.82</v>
      </c>
      <c r="O1032" s="120">
        <f t="shared" si="67"/>
        <v>442207.91200000001</v>
      </c>
      <c r="P1032" s="93" t="s">
        <v>2498</v>
      </c>
      <c r="Q1032" s="2" t="s">
        <v>2500</v>
      </c>
      <c r="R1032" s="61"/>
    </row>
    <row r="1033" spans="1:18" s="44" customFormat="1" ht="32.25" customHeight="1" outlineLevel="2" x14ac:dyDescent="0.25">
      <c r="A1033" s="10" t="s">
        <v>35</v>
      </c>
      <c r="B1033" s="2" t="s">
        <v>1760</v>
      </c>
      <c r="C1033" s="12" t="s">
        <v>39</v>
      </c>
      <c r="D1033" s="2" t="s">
        <v>1762</v>
      </c>
      <c r="E1033" s="104" t="s">
        <v>1949</v>
      </c>
      <c r="F1033" s="68" t="s">
        <v>234</v>
      </c>
      <c r="G1033" s="2" t="s">
        <v>560</v>
      </c>
      <c r="H1033" s="10" t="s">
        <v>38</v>
      </c>
      <c r="I1033" s="5">
        <v>497536.91</v>
      </c>
      <c r="J1033" s="5">
        <v>398029.53</v>
      </c>
      <c r="K1033" s="10">
        <v>80</v>
      </c>
      <c r="L1033" s="21">
        <f t="shared" si="66"/>
        <v>199014.764</v>
      </c>
      <c r="M1033" s="5"/>
      <c r="N1033" s="107">
        <v>398029.53</v>
      </c>
      <c r="O1033" s="120">
        <f t="shared" si="67"/>
        <v>199014.764</v>
      </c>
      <c r="P1033" s="93" t="s">
        <v>2647</v>
      </c>
      <c r="Q1033" s="2" t="s">
        <v>2403</v>
      </c>
      <c r="R1033" s="61"/>
    </row>
    <row r="1034" spans="1:18" s="44" customFormat="1" ht="32.25" customHeight="1" outlineLevel="2" x14ac:dyDescent="0.25">
      <c r="A1034" s="10" t="s">
        <v>35</v>
      </c>
      <c r="B1034" s="2" t="s">
        <v>1930</v>
      </c>
      <c r="C1034" s="12" t="s">
        <v>39</v>
      </c>
      <c r="D1034" s="2" t="s">
        <v>1933</v>
      </c>
      <c r="E1034" s="104" t="s">
        <v>1949</v>
      </c>
      <c r="F1034" s="68" t="s">
        <v>234</v>
      </c>
      <c r="G1034" s="2" t="s">
        <v>804</v>
      </c>
      <c r="H1034" s="10" t="s">
        <v>38</v>
      </c>
      <c r="I1034" s="5">
        <v>1844143.38</v>
      </c>
      <c r="J1034" s="5">
        <v>1475314.7</v>
      </c>
      <c r="K1034" s="10">
        <v>80</v>
      </c>
      <c r="L1034" s="21">
        <f t="shared" si="66"/>
        <v>737657.35199999996</v>
      </c>
      <c r="M1034" s="5"/>
      <c r="N1034" s="107">
        <v>1475314.7</v>
      </c>
      <c r="O1034" s="120">
        <f t="shared" si="67"/>
        <v>737657.35199999996</v>
      </c>
      <c r="P1034" s="93" t="s">
        <v>2653</v>
      </c>
      <c r="Q1034" s="2" t="s">
        <v>2654</v>
      </c>
      <c r="R1034" s="61"/>
    </row>
    <row r="1035" spans="1:18" s="125" customFormat="1" ht="32.25" customHeight="1" outlineLevel="1" x14ac:dyDescent="0.2">
      <c r="A1035" s="162"/>
      <c r="B1035" s="168"/>
      <c r="C1035" s="154" t="s">
        <v>1946</v>
      </c>
      <c r="D1035" s="123"/>
      <c r="E1035" s="163"/>
      <c r="F1035" s="123"/>
      <c r="G1035" s="168"/>
      <c r="H1035" s="103"/>
      <c r="I1035" s="69">
        <f>SUBTOTAL(9,I968:I1034)</f>
        <v>68173580.809999973</v>
      </c>
      <c r="J1035" s="69">
        <f>SUBTOTAL(9,J968:J1034)</f>
        <v>51620323.680000015</v>
      </c>
      <c r="K1035" s="103"/>
      <c r="L1035" s="149">
        <f>SUBTOTAL(9,L968:L1034)</f>
        <v>27269432.324000001</v>
      </c>
      <c r="M1035" s="149">
        <f>SUBTOTAL(9,M968:M1034)</f>
        <v>0</v>
      </c>
      <c r="N1035" s="31">
        <f>SUBTOTAL(9,N968:N1034)</f>
        <v>51620323.680000015</v>
      </c>
      <c r="O1035" s="149">
        <f>SUBTOTAL(9,O968:O1034)</f>
        <v>27269432.324000001</v>
      </c>
      <c r="P1035" s="124"/>
      <c r="Q1035" s="103"/>
      <c r="R1035" s="49"/>
    </row>
    <row r="1036" spans="1:18" s="44" customFormat="1" ht="32.25" customHeight="1" outlineLevel="2" x14ac:dyDescent="0.25">
      <c r="A1036" s="10" t="s">
        <v>35</v>
      </c>
      <c r="B1036" s="11" t="s">
        <v>25</v>
      </c>
      <c r="C1036" s="12" t="s">
        <v>14</v>
      </c>
      <c r="D1036" s="68" t="s">
        <v>36</v>
      </c>
      <c r="E1036" s="104" t="s">
        <v>1949</v>
      </c>
      <c r="F1036" s="68" t="s">
        <v>37</v>
      </c>
      <c r="G1036" s="68" t="s">
        <v>18</v>
      </c>
      <c r="H1036" s="10" t="s">
        <v>38</v>
      </c>
      <c r="I1036" s="47">
        <v>1134662.23</v>
      </c>
      <c r="J1036" s="47">
        <v>1134662.23</v>
      </c>
      <c r="K1036" s="10">
        <v>100</v>
      </c>
      <c r="L1036" s="21">
        <v>453864.89199999999</v>
      </c>
      <c r="M1036" s="47"/>
      <c r="N1036" s="47">
        <f t="shared" ref="N1036:N1060" si="68">J1036-M1036</f>
        <v>1134662.23</v>
      </c>
      <c r="O1036" s="120">
        <f t="shared" ref="O1036:O1060" si="69">L1036-M1036</f>
        <v>453864.89199999999</v>
      </c>
      <c r="P1036" s="92"/>
      <c r="Q1036" s="39" t="s">
        <v>2743</v>
      </c>
      <c r="R1036" s="61"/>
    </row>
    <row r="1037" spans="1:18" s="44" customFormat="1" ht="32.25" customHeight="1" outlineLevel="2" x14ac:dyDescent="0.25">
      <c r="A1037" s="10" t="s">
        <v>35</v>
      </c>
      <c r="B1037" s="11" t="s">
        <v>223</v>
      </c>
      <c r="C1037" s="12" t="s">
        <v>14</v>
      </c>
      <c r="D1037" s="68" t="s">
        <v>224</v>
      </c>
      <c r="E1037" s="104" t="s">
        <v>1949</v>
      </c>
      <c r="F1037" s="68" t="s">
        <v>37</v>
      </c>
      <c r="G1037" s="68" t="s">
        <v>18</v>
      </c>
      <c r="H1037" s="10" t="s">
        <v>38</v>
      </c>
      <c r="I1037" s="47">
        <v>4078533.11</v>
      </c>
      <c r="J1037" s="47">
        <v>4078533.11</v>
      </c>
      <c r="K1037" s="10">
        <v>100</v>
      </c>
      <c r="L1037" s="21">
        <v>1631413.2439999999</v>
      </c>
      <c r="M1037" s="47"/>
      <c r="N1037" s="47">
        <f t="shared" si="68"/>
        <v>4078533.11</v>
      </c>
      <c r="O1037" s="120">
        <f t="shared" si="69"/>
        <v>1631413.2439999999</v>
      </c>
      <c r="P1037" s="92"/>
      <c r="Q1037" s="39" t="s">
        <v>2731</v>
      </c>
      <c r="R1037" s="61"/>
    </row>
    <row r="1038" spans="1:18" s="44" customFormat="1" ht="32.25" customHeight="1" outlineLevel="2" x14ac:dyDescent="0.25">
      <c r="A1038" s="10" t="s">
        <v>35</v>
      </c>
      <c r="B1038" s="68" t="s">
        <v>333</v>
      </c>
      <c r="C1038" s="93" t="s">
        <v>14</v>
      </c>
      <c r="D1038" s="68" t="s">
        <v>334</v>
      </c>
      <c r="E1038" s="104" t="s">
        <v>1949</v>
      </c>
      <c r="F1038" s="68" t="s">
        <v>37</v>
      </c>
      <c r="G1038" s="68" t="s">
        <v>18</v>
      </c>
      <c r="H1038" s="10" t="s">
        <v>38</v>
      </c>
      <c r="I1038" s="107">
        <v>21482611.489999998</v>
      </c>
      <c r="J1038" s="107">
        <v>21482611.489999998</v>
      </c>
      <c r="K1038" s="10">
        <v>100</v>
      </c>
      <c r="L1038" s="126">
        <v>8593044.595999999</v>
      </c>
      <c r="M1038" s="107"/>
      <c r="N1038" s="107">
        <f t="shared" si="68"/>
        <v>21482611.489999998</v>
      </c>
      <c r="O1038" s="120">
        <f t="shared" si="69"/>
        <v>8593044.595999999</v>
      </c>
      <c r="P1038" s="92"/>
      <c r="Q1038" s="127" t="s">
        <v>2743</v>
      </c>
      <c r="R1038" s="61"/>
    </row>
    <row r="1039" spans="1:18" s="44" customFormat="1" ht="32.25" customHeight="1" outlineLevel="2" x14ac:dyDescent="0.25">
      <c r="A1039" s="10" t="s">
        <v>35</v>
      </c>
      <c r="B1039" s="11" t="s">
        <v>2746</v>
      </c>
      <c r="C1039" s="12" t="s">
        <v>14</v>
      </c>
      <c r="D1039" s="68" t="s">
        <v>1000</v>
      </c>
      <c r="E1039" s="104" t="s">
        <v>1949</v>
      </c>
      <c r="F1039" s="68" t="s">
        <v>1001</v>
      </c>
      <c r="G1039" s="68" t="s">
        <v>1002</v>
      </c>
      <c r="H1039" s="10" t="s">
        <v>38</v>
      </c>
      <c r="I1039" s="47">
        <v>430393.88</v>
      </c>
      <c r="J1039" s="47">
        <v>344315.1</v>
      </c>
      <c r="K1039" s="10">
        <v>80</v>
      </c>
      <c r="L1039" s="21">
        <v>172157.55200000003</v>
      </c>
      <c r="M1039" s="47"/>
      <c r="N1039" s="47">
        <f t="shared" si="68"/>
        <v>344315.1</v>
      </c>
      <c r="O1039" s="120">
        <f t="shared" si="69"/>
        <v>172157.55200000003</v>
      </c>
      <c r="P1039" s="92"/>
      <c r="Q1039" s="39" t="s">
        <v>2691</v>
      </c>
      <c r="R1039" s="61"/>
    </row>
    <row r="1040" spans="1:18" s="44" customFormat="1" ht="32.25" customHeight="1" outlineLevel="2" x14ac:dyDescent="0.25">
      <c r="A1040" s="10" t="s">
        <v>35</v>
      </c>
      <c r="B1040" s="11" t="s">
        <v>1011</v>
      </c>
      <c r="C1040" s="12" t="s">
        <v>14</v>
      </c>
      <c r="D1040" s="68" t="s">
        <v>1014</v>
      </c>
      <c r="E1040" s="104" t="s">
        <v>1949</v>
      </c>
      <c r="F1040" s="68" t="s">
        <v>1015</v>
      </c>
      <c r="G1040" s="68" t="s">
        <v>18</v>
      </c>
      <c r="H1040" s="10" t="s">
        <v>38</v>
      </c>
      <c r="I1040" s="47">
        <v>10086928.75</v>
      </c>
      <c r="J1040" s="47">
        <v>8069543</v>
      </c>
      <c r="K1040" s="10">
        <v>80</v>
      </c>
      <c r="L1040" s="21">
        <v>4034771.5</v>
      </c>
      <c r="M1040" s="47"/>
      <c r="N1040" s="47">
        <f t="shared" si="68"/>
        <v>8069543</v>
      </c>
      <c r="O1040" s="120">
        <f t="shared" si="69"/>
        <v>4034771.5</v>
      </c>
      <c r="P1040" s="92"/>
      <c r="Q1040" s="39" t="s">
        <v>2733</v>
      </c>
      <c r="R1040" s="61"/>
    </row>
    <row r="1041" spans="1:18" s="44" customFormat="1" ht="32.25" customHeight="1" outlineLevel="2" x14ac:dyDescent="0.25">
      <c r="A1041" s="10" t="s">
        <v>35</v>
      </c>
      <c r="B1041" s="11" t="s">
        <v>1096</v>
      </c>
      <c r="C1041" s="12" t="s">
        <v>14</v>
      </c>
      <c r="D1041" s="68" t="s">
        <v>1097</v>
      </c>
      <c r="E1041" s="104" t="s">
        <v>1949</v>
      </c>
      <c r="F1041" s="68" t="s">
        <v>37</v>
      </c>
      <c r="G1041" s="68" t="s">
        <v>1098</v>
      </c>
      <c r="H1041" s="10" t="s">
        <v>38</v>
      </c>
      <c r="I1041" s="47">
        <v>128866.44</v>
      </c>
      <c r="J1041" s="47">
        <v>128866.44</v>
      </c>
      <c r="K1041" s="10">
        <v>100</v>
      </c>
      <c r="L1041" s="21">
        <v>51546.576000000001</v>
      </c>
      <c r="M1041" s="47"/>
      <c r="N1041" s="47">
        <f t="shared" si="68"/>
        <v>128866.44</v>
      </c>
      <c r="O1041" s="120">
        <f t="shared" si="69"/>
        <v>51546.576000000001</v>
      </c>
      <c r="P1041" s="92"/>
      <c r="Q1041" s="39" t="s">
        <v>1972</v>
      </c>
      <c r="R1041" s="61"/>
    </row>
    <row r="1042" spans="1:18" s="53" customFormat="1" ht="32.25" customHeight="1" outlineLevel="2" x14ac:dyDescent="0.25">
      <c r="A1042" s="10" t="s">
        <v>35</v>
      </c>
      <c r="B1042" s="68" t="s">
        <v>1102</v>
      </c>
      <c r="C1042" s="93" t="s">
        <v>14</v>
      </c>
      <c r="D1042" s="68" t="s">
        <v>1103</v>
      </c>
      <c r="E1042" s="104" t="s">
        <v>1949</v>
      </c>
      <c r="F1042" s="68" t="s">
        <v>37</v>
      </c>
      <c r="G1042" s="68" t="s">
        <v>18</v>
      </c>
      <c r="H1042" s="10" t="s">
        <v>38</v>
      </c>
      <c r="I1042" s="107">
        <v>33393844.59</v>
      </c>
      <c r="J1042" s="107">
        <v>33393844.59</v>
      </c>
      <c r="K1042" s="92">
        <v>100</v>
      </c>
      <c r="L1042" s="126">
        <v>13357537.836000001</v>
      </c>
      <c r="M1042" s="107"/>
      <c r="N1042" s="107">
        <f t="shared" si="68"/>
        <v>33393844.59</v>
      </c>
      <c r="O1042" s="120">
        <f t="shared" si="69"/>
        <v>13357537.836000001</v>
      </c>
      <c r="P1042" s="92"/>
      <c r="Q1042" s="127" t="s">
        <v>2733</v>
      </c>
      <c r="R1042" s="144"/>
    </row>
    <row r="1043" spans="1:18" s="44" customFormat="1" ht="32.25" customHeight="1" outlineLevel="2" x14ac:dyDescent="0.25">
      <c r="A1043" s="10" t="s">
        <v>35</v>
      </c>
      <c r="B1043" s="11" t="s">
        <v>1280</v>
      </c>
      <c r="C1043" s="12" t="s">
        <v>14</v>
      </c>
      <c r="D1043" s="68" t="s">
        <v>1282</v>
      </c>
      <c r="E1043" s="104" t="s">
        <v>1949</v>
      </c>
      <c r="F1043" s="68" t="s">
        <v>37</v>
      </c>
      <c r="G1043" s="68" t="s">
        <v>18</v>
      </c>
      <c r="H1043" s="10" t="s">
        <v>38</v>
      </c>
      <c r="I1043" s="47">
        <v>6130859.1100000003</v>
      </c>
      <c r="J1043" s="47">
        <v>6130859.1100000003</v>
      </c>
      <c r="K1043" s="10">
        <v>100</v>
      </c>
      <c r="L1043" s="21">
        <v>2452343.6440000003</v>
      </c>
      <c r="M1043" s="47"/>
      <c r="N1043" s="47">
        <f t="shared" si="68"/>
        <v>6130859.1100000003</v>
      </c>
      <c r="O1043" s="120">
        <f t="shared" si="69"/>
        <v>2452343.6440000003</v>
      </c>
      <c r="P1043" s="92"/>
      <c r="Q1043" s="39" t="s">
        <v>2687</v>
      </c>
      <c r="R1043" s="61"/>
    </row>
    <row r="1044" spans="1:18" s="44" customFormat="1" ht="32.25" customHeight="1" outlineLevel="2" x14ac:dyDescent="0.25">
      <c r="A1044" s="10" t="s">
        <v>35</v>
      </c>
      <c r="B1044" s="11" t="s">
        <v>1315</v>
      </c>
      <c r="C1044" s="12" t="s">
        <v>14</v>
      </c>
      <c r="D1044" s="68" t="s">
        <v>1508</v>
      </c>
      <c r="E1044" s="104" t="s">
        <v>1949</v>
      </c>
      <c r="F1044" s="68" t="s">
        <v>37</v>
      </c>
      <c r="G1044" s="68" t="s">
        <v>1170</v>
      </c>
      <c r="H1044" s="10" t="s">
        <v>38</v>
      </c>
      <c r="I1044" s="47">
        <v>204513.26</v>
      </c>
      <c r="J1044" s="47">
        <v>204513.26</v>
      </c>
      <c r="K1044" s="10">
        <v>100</v>
      </c>
      <c r="L1044" s="21">
        <v>81805.304000000004</v>
      </c>
      <c r="M1044" s="47"/>
      <c r="N1044" s="47">
        <f t="shared" si="68"/>
        <v>204513.26</v>
      </c>
      <c r="O1044" s="120">
        <f t="shared" si="69"/>
        <v>81805.304000000004</v>
      </c>
      <c r="P1044" s="92"/>
      <c r="Q1044" s="39" t="s">
        <v>1972</v>
      </c>
      <c r="R1044" s="61"/>
    </row>
    <row r="1045" spans="1:18" s="44" customFormat="1" ht="32.25" customHeight="1" outlineLevel="2" x14ac:dyDescent="0.25">
      <c r="A1045" s="10" t="s">
        <v>35</v>
      </c>
      <c r="B1045" s="11" t="s">
        <v>1315</v>
      </c>
      <c r="C1045" s="12" t="s">
        <v>14</v>
      </c>
      <c r="D1045" s="68" t="s">
        <v>1509</v>
      </c>
      <c r="E1045" s="104" t="s">
        <v>1949</v>
      </c>
      <c r="F1045" s="68" t="s">
        <v>1510</v>
      </c>
      <c r="G1045" s="68" t="s">
        <v>1048</v>
      </c>
      <c r="H1045" s="10" t="s">
        <v>38</v>
      </c>
      <c r="I1045" s="47">
        <v>6292.97</v>
      </c>
      <c r="J1045" s="47">
        <v>6292.97</v>
      </c>
      <c r="K1045" s="10">
        <v>100</v>
      </c>
      <c r="L1045" s="21">
        <v>2517.1880000000001</v>
      </c>
      <c r="M1045" s="47"/>
      <c r="N1045" s="47">
        <f t="shared" si="68"/>
        <v>6292.97</v>
      </c>
      <c r="O1045" s="120">
        <f t="shared" si="69"/>
        <v>2517.1880000000001</v>
      </c>
      <c r="P1045" s="92"/>
      <c r="Q1045" s="39" t="s">
        <v>1972</v>
      </c>
      <c r="R1045" s="61"/>
    </row>
    <row r="1046" spans="1:18" s="44" customFormat="1" ht="32.25" customHeight="1" outlineLevel="2" x14ac:dyDescent="0.25">
      <c r="A1046" s="10" t="s">
        <v>35</v>
      </c>
      <c r="B1046" s="11" t="s">
        <v>1315</v>
      </c>
      <c r="C1046" s="12" t="s">
        <v>14</v>
      </c>
      <c r="D1046" s="68" t="s">
        <v>1511</v>
      </c>
      <c r="E1046" s="104" t="s">
        <v>1949</v>
      </c>
      <c r="F1046" s="68" t="s">
        <v>1001</v>
      </c>
      <c r="G1046" s="68" t="s">
        <v>1130</v>
      </c>
      <c r="H1046" s="10" t="s">
        <v>38</v>
      </c>
      <c r="I1046" s="47">
        <v>13060.18</v>
      </c>
      <c r="J1046" s="47">
        <v>10448.14</v>
      </c>
      <c r="K1046" s="10">
        <v>80</v>
      </c>
      <c r="L1046" s="21">
        <v>5224.0720000000001</v>
      </c>
      <c r="M1046" s="47"/>
      <c r="N1046" s="47">
        <f t="shared" si="68"/>
        <v>10448.14</v>
      </c>
      <c r="O1046" s="120">
        <f t="shared" si="69"/>
        <v>5224.0720000000001</v>
      </c>
      <c r="P1046" s="92"/>
      <c r="Q1046" s="39" t="s">
        <v>2772</v>
      </c>
      <c r="R1046" s="61"/>
    </row>
    <row r="1047" spans="1:18" s="44" customFormat="1" ht="32.25" customHeight="1" outlineLevel="2" x14ac:dyDescent="0.25">
      <c r="A1047" s="10" t="s">
        <v>35</v>
      </c>
      <c r="B1047" s="11" t="s">
        <v>1315</v>
      </c>
      <c r="C1047" s="12" t="s">
        <v>14</v>
      </c>
      <c r="D1047" s="68" t="s">
        <v>1512</v>
      </c>
      <c r="E1047" s="104" t="s">
        <v>1949</v>
      </c>
      <c r="F1047" s="68" t="s">
        <v>1001</v>
      </c>
      <c r="G1047" s="68" t="s">
        <v>145</v>
      </c>
      <c r="H1047" s="10" t="s">
        <v>38</v>
      </c>
      <c r="I1047" s="47">
        <v>38575.82</v>
      </c>
      <c r="J1047" s="47">
        <v>30860.66</v>
      </c>
      <c r="K1047" s="10">
        <v>80</v>
      </c>
      <c r="L1047" s="21">
        <v>15430.328000000001</v>
      </c>
      <c r="M1047" s="47"/>
      <c r="N1047" s="47">
        <f t="shared" si="68"/>
        <v>30860.66</v>
      </c>
      <c r="O1047" s="120">
        <f t="shared" si="69"/>
        <v>15430.328000000001</v>
      </c>
      <c r="P1047" s="92"/>
      <c r="Q1047" s="39" t="s">
        <v>2750</v>
      </c>
      <c r="R1047" s="61"/>
    </row>
    <row r="1048" spans="1:18" s="44" customFormat="1" ht="32.25" customHeight="1" outlineLevel="2" x14ac:dyDescent="0.25">
      <c r="A1048" s="10" t="s">
        <v>35</v>
      </c>
      <c r="B1048" s="11" t="s">
        <v>1315</v>
      </c>
      <c r="C1048" s="12" t="s">
        <v>14</v>
      </c>
      <c r="D1048" s="68" t="s">
        <v>1513</v>
      </c>
      <c r="E1048" s="104" t="s">
        <v>1949</v>
      </c>
      <c r="F1048" s="68" t="s">
        <v>1001</v>
      </c>
      <c r="G1048" s="68" t="s">
        <v>1514</v>
      </c>
      <c r="H1048" s="10" t="s">
        <v>38</v>
      </c>
      <c r="I1048" s="47">
        <v>136522.51</v>
      </c>
      <c r="J1048" s="47">
        <v>109218.01</v>
      </c>
      <c r="K1048" s="10">
        <v>80</v>
      </c>
      <c r="L1048" s="21">
        <v>54609.004000000008</v>
      </c>
      <c r="M1048" s="47"/>
      <c r="N1048" s="47">
        <f t="shared" si="68"/>
        <v>109218.01</v>
      </c>
      <c r="O1048" s="120">
        <f t="shared" si="69"/>
        <v>54609.004000000008</v>
      </c>
      <c r="P1048" s="92"/>
      <c r="Q1048" s="39" t="s">
        <v>2767</v>
      </c>
      <c r="R1048" s="61"/>
    </row>
    <row r="1049" spans="1:18" s="44" customFormat="1" ht="32.25" customHeight="1" outlineLevel="2" x14ac:dyDescent="0.25">
      <c r="A1049" s="10" t="s">
        <v>35</v>
      </c>
      <c r="B1049" s="11" t="s">
        <v>1315</v>
      </c>
      <c r="C1049" s="12" t="s">
        <v>14</v>
      </c>
      <c r="D1049" s="68" t="s">
        <v>1515</v>
      </c>
      <c r="E1049" s="104" t="s">
        <v>1949</v>
      </c>
      <c r="F1049" s="68" t="s">
        <v>1001</v>
      </c>
      <c r="G1049" s="68" t="s">
        <v>60</v>
      </c>
      <c r="H1049" s="10" t="s">
        <v>38</v>
      </c>
      <c r="I1049" s="47">
        <v>933449.28</v>
      </c>
      <c r="J1049" s="47">
        <v>746759.42</v>
      </c>
      <c r="K1049" s="10">
        <v>80</v>
      </c>
      <c r="L1049" s="21">
        <v>373379.71200000006</v>
      </c>
      <c r="M1049" s="47"/>
      <c r="N1049" s="47">
        <f t="shared" si="68"/>
        <v>746759.42</v>
      </c>
      <c r="O1049" s="120">
        <f t="shared" si="69"/>
        <v>373379.71200000006</v>
      </c>
      <c r="P1049" s="92"/>
      <c r="Q1049" s="39" t="s">
        <v>2748</v>
      </c>
      <c r="R1049" s="61"/>
    </row>
    <row r="1050" spans="1:18" s="44" customFormat="1" ht="32.25" customHeight="1" outlineLevel="2" x14ac:dyDescent="0.25">
      <c r="A1050" s="10" t="s">
        <v>35</v>
      </c>
      <c r="B1050" s="11" t="s">
        <v>1315</v>
      </c>
      <c r="C1050" s="12" t="s">
        <v>14</v>
      </c>
      <c r="D1050" s="68" t="s">
        <v>1516</v>
      </c>
      <c r="E1050" s="104" t="s">
        <v>1949</v>
      </c>
      <c r="F1050" s="68" t="s">
        <v>1001</v>
      </c>
      <c r="G1050" s="68" t="s">
        <v>1517</v>
      </c>
      <c r="H1050" s="10" t="s">
        <v>38</v>
      </c>
      <c r="I1050" s="47">
        <v>134053.92000000001</v>
      </c>
      <c r="J1050" s="47">
        <v>107243.14</v>
      </c>
      <c r="K1050" s="10">
        <v>80</v>
      </c>
      <c r="L1050" s="21">
        <v>53621.568000000007</v>
      </c>
      <c r="M1050" s="47"/>
      <c r="N1050" s="47">
        <f t="shared" si="68"/>
        <v>107243.14</v>
      </c>
      <c r="O1050" s="120">
        <f t="shared" si="69"/>
        <v>53621.568000000007</v>
      </c>
      <c r="P1050" s="92"/>
      <c r="Q1050" s="39" t="s">
        <v>2767</v>
      </c>
      <c r="R1050" s="61"/>
    </row>
    <row r="1051" spans="1:18" s="44" customFormat="1" ht="49.5" customHeight="1" outlineLevel="2" x14ac:dyDescent="0.25">
      <c r="A1051" s="3" t="s">
        <v>35</v>
      </c>
      <c r="B1051" s="11" t="s">
        <v>1315</v>
      </c>
      <c r="C1051" s="12" t="s">
        <v>14</v>
      </c>
      <c r="D1051" s="2" t="s">
        <v>1518</v>
      </c>
      <c r="E1051" s="6" t="s">
        <v>1949</v>
      </c>
      <c r="F1051" s="2" t="s">
        <v>1001</v>
      </c>
      <c r="G1051" s="2" t="s">
        <v>461</v>
      </c>
      <c r="H1051" s="3" t="s">
        <v>38</v>
      </c>
      <c r="I1051" s="5">
        <v>14492.08</v>
      </c>
      <c r="J1051" s="5">
        <v>11593.66</v>
      </c>
      <c r="K1051" s="3">
        <v>80</v>
      </c>
      <c r="L1051" s="21">
        <v>5796.8320000000003</v>
      </c>
      <c r="M1051" s="5"/>
      <c r="N1051" s="107">
        <f t="shared" si="68"/>
        <v>11593.66</v>
      </c>
      <c r="O1051" s="120">
        <f t="shared" si="69"/>
        <v>5796.8320000000003</v>
      </c>
      <c r="P1051" s="92"/>
      <c r="Q1051" s="39" t="s">
        <v>2064</v>
      </c>
      <c r="R1051" s="61"/>
    </row>
    <row r="1052" spans="1:18" s="44" customFormat="1" ht="32.25" customHeight="1" outlineLevel="2" x14ac:dyDescent="0.25">
      <c r="A1052" s="10" t="s">
        <v>35</v>
      </c>
      <c r="B1052" s="11" t="s">
        <v>1315</v>
      </c>
      <c r="C1052" s="12" t="s">
        <v>14</v>
      </c>
      <c r="D1052" s="68" t="s">
        <v>1519</v>
      </c>
      <c r="E1052" s="104" t="s">
        <v>1949</v>
      </c>
      <c r="F1052" s="68" t="s">
        <v>1001</v>
      </c>
      <c r="G1052" s="68" t="s">
        <v>1495</v>
      </c>
      <c r="H1052" s="10" t="s">
        <v>38</v>
      </c>
      <c r="I1052" s="47">
        <v>308803.15000000002</v>
      </c>
      <c r="J1052" s="47">
        <v>247042.52</v>
      </c>
      <c r="K1052" s="10">
        <v>80</v>
      </c>
      <c r="L1052" s="21">
        <v>123521.26000000001</v>
      </c>
      <c r="M1052" s="47"/>
      <c r="N1052" s="47">
        <f t="shared" si="68"/>
        <v>247042.52</v>
      </c>
      <c r="O1052" s="120">
        <f t="shared" si="69"/>
        <v>123521.26000000001</v>
      </c>
      <c r="P1052" s="92"/>
      <c r="Q1052" s="39" t="s">
        <v>2773</v>
      </c>
      <c r="R1052" s="61"/>
    </row>
    <row r="1053" spans="1:18" s="44" customFormat="1" ht="32.25" customHeight="1" outlineLevel="2" x14ac:dyDescent="0.25">
      <c r="A1053" s="10" t="s">
        <v>35</v>
      </c>
      <c r="B1053" s="11" t="s">
        <v>1315</v>
      </c>
      <c r="C1053" s="12" t="s">
        <v>14</v>
      </c>
      <c r="D1053" s="68" t="s">
        <v>1520</v>
      </c>
      <c r="E1053" s="104" t="s">
        <v>1949</v>
      </c>
      <c r="F1053" s="68" t="s">
        <v>1001</v>
      </c>
      <c r="G1053" s="68" t="s">
        <v>1521</v>
      </c>
      <c r="H1053" s="10" t="s">
        <v>38</v>
      </c>
      <c r="I1053" s="47">
        <v>1003908.76</v>
      </c>
      <c r="J1053" s="47">
        <v>803127.01</v>
      </c>
      <c r="K1053" s="10">
        <v>80</v>
      </c>
      <c r="L1053" s="21">
        <v>401563.50400000002</v>
      </c>
      <c r="M1053" s="47"/>
      <c r="N1053" s="47">
        <f t="shared" si="68"/>
        <v>803127.01</v>
      </c>
      <c r="O1053" s="120">
        <f t="shared" si="69"/>
        <v>401563.50400000002</v>
      </c>
      <c r="P1053" s="92"/>
      <c r="Q1053" s="39" t="s">
        <v>1970</v>
      </c>
      <c r="R1053" s="61"/>
    </row>
    <row r="1054" spans="1:18" s="44" customFormat="1" ht="32.25" customHeight="1" outlineLevel="2" x14ac:dyDescent="0.25">
      <c r="A1054" s="10" t="s">
        <v>35</v>
      </c>
      <c r="B1054" s="11" t="s">
        <v>1315</v>
      </c>
      <c r="C1054" s="12" t="s">
        <v>14</v>
      </c>
      <c r="D1054" s="68" t="s">
        <v>1619</v>
      </c>
      <c r="E1054" s="104" t="s">
        <v>1949</v>
      </c>
      <c r="F1054" s="68" t="s">
        <v>1001</v>
      </c>
      <c r="G1054" s="68" t="s">
        <v>1620</v>
      </c>
      <c r="H1054" s="10" t="s">
        <v>38</v>
      </c>
      <c r="I1054" s="47">
        <v>1103392.8600000001</v>
      </c>
      <c r="J1054" s="47">
        <v>882714.29</v>
      </c>
      <c r="K1054" s="10">
        <v>80</v>
      </c>
      <c r="L1054" s="21">
        <v>441357.14400000009</v>
      </c>
      <c r="M1054" s="47"/>
      <c r="N1054" s="47">
        <f t="shared" si="68"/>
        <v>882714.29</v>
      </c>
      <c r="O1054" s="120">
        <f t="shared" si="69"/>
        <v>441357.14400000009</v>
      </c>
      <c r="P1054" s="92"/>
      <c r="Q1054" s="39" t="s">
        <v>2689</v>
      </c>
      <c r="R1054" s="61"/>
    </row>
    <row r="1055" spans="1:18" s="44" customFormat="1" ht="32.25" customHeight="1" outlineLevel="2" x14ac:dyDescent="0.25">
      <c r="A1055" s="10" t="s">
        <v>35</v>
      </c>
      <c r="B1055" s="11" t="s">
        <v>1315</v>
      </c>
      <c r="C1055" s="12" t="s">
        <v>14</v>
      </c>
      <c r="D1055" s="68" t="s">
        <v>1622</v>
      </c>
      <c r="E1055" s="104" t="s">
        <v>1949</v>
      </c>
      <c r="F1055" s="68" t="s">
        <v>1001</v>
      </c>
      <c r="G1055" s="68" t="s">
        <v>1623</v>
      </c>
      <c r="H1055" s="10" t="s">
        <v>38</v>
      </c>
      <c r="I1055" s="47">
        <v>1686913.91</v>
      </c>
      <c r="J1055" s="47">
        <v>1349531.13</v>
      </c>
      <c r="K1055" s="10">
        <v>80</v>
      </c>
      <c r="L1055" s="21">
        <v>674765.56400000001</v>
      </c>
      <c r="M1055" s="47"/>
      <c r="N1055" s="47">
        <f t="shared" si="68"/>
        <v>1349531.13</v>
      </c>
      <c r="O1055" s="120">
        <f t="shared" si="69"/>
        <v>674765.56400000001</v>
      </c>
      <c r="P1055" s="92"/>
      <c r="Q1055" s="39" t="s">
        <v>2689</v>
      </c>
      <c r="R1055" s="61"/>
    </row>
    <row r="1056" spans="1:18" s="44" customFormat="1" ht="32.25" customHeight="1" outlineLevel="2" x14ac:dyDescent="0.25">
      <c r="A1056" s="10" t="s">
        <v>35</v>
      </c>
      <c r="B1056" s="11" t="s">
        <v>1315</v>
      </c>
      <c r="C1056" s="12" t="s">
        <v>14</v>
      </c>
      <c r="D1056" s="68" t="s">
        <v>1624</v>
      </c>
      <c r="E1056" s="104" t="s">
        <v>1949</v>
      </c>
      <c r="F1056" s="68" t="s">
        <v>1001</v>
      </c>
      <c r="G1056" s="68" t="s">
        <v>1573</v>
      </c>
      <c r="H1056" s="10" t="s">
        <v>38</v>
      </c>
      <c r="I1056" s="47">
        <v>207537.49</v>
      </c>
      <c r="J1056" s="47">
        <v>166029.99</v>
      </c>
      <c r="K1056" s="10">
        <v>80</v>
      </c>
      <c r="L1056" s="21">
        <v>83014.995999999999</v>
      </c>
      <c r="M1056" s="47"/>
      <c r="N1056" s="47">
        <f t="shared" si="68"/>
        <v>166029.99</v>
      </c>
      <c r="O1056" s="120">
        <f t="shared" si="69"/>
        <v>83014.995999999999</v>
      </c>
      <c r="P1056" s="92"/>
      <c r="Q1056" s="39" t="s">
        <v>2706</v>
      </c>
      <c r="R1056" s="61"/>
    </row>
    <row r="1057" spans="1:18" s="44" customFormat="1" ht="32.25" customHeight="1" outlineLevel="2" x14ac:dyDescent="0.25">
      <c r="A1057" s="10" t="s">
        <v>35</v>
      </c>
      <c r="B1057" s="11" t="s">
        <v>1632</v>
      </c>
      <c r="C1057" s="12" t="s">
        <v>14</v>
      </c>
      <c r="D1057" s="68" t="s">
        <v>1633</v>
      </c>
      <c r="E1057" s="104" t="s">
        <v>1949</v>
      </c>
      <c r="F1057" s="68" t="s">
        <v>1001</v>
      </c>
      <c r="G1057" s="68" t="s">
        <v>1634</v>
      </c>
      <c r="H1057" s="10" t="s">
        <v>38</v>
      </c>
      <c r="I1057" s="47">
        <v>107197.15</v>
      </c>
      <c r="J1057" s="47">
        <v>85757.72</v>
      </c>
      <c r="K1057" s="10">
        <v>80</v>
      </c>
      <c r="L1057" s="21">
        <v>42878.86</v>
      </c>
      <c r="M1057" s="47"/>
      <c r="N1057" s="47">
        <f t="shared" si="68"/>
        <v>85757.72</v>
      </c>
      <c r="O1057" s="120">
        <f t="shared" si="69"/>
        <v>42878.86</v>
      </c>
      <c r="P1057" s="92"/>
      <c r="Q1057" s="39" t="s">
        <v>2769</v>
      </c>
      <c r="R1057" s="61"/>
    </row>
    <row r="1058" spans="1:18" s="44" customFormat="1" ht="32.25" customHeight="1" outlineLevel="2" x14ac:dyDescent="0.25">
      <c r="A1058" s="3" t="s">
        <v>35</v>
      </c>
      <c r="B1058" s="2" t="s">
        <v>1679</v>
      </c>
      <c r="C1058" s="12" t="s">
        <v>14</v>
      </c>
      <c r="D1058" s="2" t="s">
        <v>1680</v>
      </c>
      <c r="E1058" s="104" t="s">
        <v>1949</v>
      </c>
      <c r="F1058" s="11" t="s">
        <v>1001</v>
      </c>
      <c r="G1058" s="127" t="s">
        <v>1681</v>
      </c>
      <c r="H1058" s="92" t="s">
        <v>38</v>
      </c>
      <c r="I1058" s="128">
        <v>13680194.869999999</v>
      </c>
      <c r="J1058" s="128">
        <v>10944155.9</v>
      </c>
      <c r="K1058" s="12">
        <v>80</v>
      </c>
      <c r="L1058" s="126">
        <v>5472077.9479999999</v>
      </c>
      <c r="M1058" s="128"/>
      <c r="N1058" s="107">
        <f t="shared" si="68"/>
        <v>10944155.9</v>
      </c>
      <c r="O1058" s="120">
        <f t="shared" si="69"/>
        <v>5472077.9479999999</v>
      </c>
      <c r="P1058" s="93"/>
      <c r="Q1058" s="127" t="s">
        <v>2065</v>
      </c>
      <c r="R1058" s="61"/>
    </row>
    <row r="1059" spans="1:18" s="44" customFormat="1" ht="32.25" customHeight="1" outlineLevel="2" x14ac:dyDescent="0.25">
      <c r="A1059" s="10" t="s">
        <v>35</v>
      </c>
      <c r="B1059" s="11" t="s">
        <v>1750</v>
      </c>
      <c r="C1059" s="12" t="s">
        <v>14</v>
      </c>
      <c r="D1059" s="68" t="s">
        <v>1751</v>
      </c>
      <c r="E1059" s="104" t="s">
        <v>1949</v>
      </c>
      <c r="F1059" s="68" t="s">
        <v>1752</v>
      </c>
      <c r="G1059" s="68" t="s">
        <v>1585</v>
      </c>
      <c r="H1059" s="10" t="s">
        <v>38</v>
      </c>
      <c r="I1059" s="47">
        <v>183798.09</v>
      </c>
      <c r="J1059" s="47">
        <v>147038.47</v>
      </c>
      <c r="K1059" s="10">
        <v>80</v>
      </c>
      <c r="L1059" s="21">
        <v>73519.236000000004</v>
      </c>
      <c r="M1059" s="47"/>
      <c r="N1059" s="47">
        <f t="shared" si="68"/>
        <v>147038.47</v>
      </c>
      <c r="O1059" s="120">
        <f t="shared" si="69"/>
        <v>73519.236000000004</v>
      </c>
      <c r="P1059" s="92"/>
      <c r="Q1059" s="39" t="s">
        <v>2744</v>
      </c>
      <c r="R1059" s="61"/>
    </row>
    <row r="1060" spans="1:18" s="44" customFormat="1" ht="32.25" customHeight="1" outlineLevel="2" x14ac:dyDescent="0.25">
      <c r="A1060" s="10" t="s">
        <v>35</v>
      </c>
      <c r="B1060" s="11" t="s">
        <v>1868</v>
      </c>
      <c r="C1060" s="12" t="s">
        <v>14</v>
      </c>
      <c r="D1060" s="68" t="s">
        <v>1871</v>
      </c>
      <c r="E1060" s="104" t="s">
        <v>1949</v>
      </c>
      <c r="F1060" s="68" t="s">
        <v>1015</v>
      </c>
      <c r="G1060" s="68" t="s">
        <v>18</v>
      </c>
      <c r="H1060" s="10" t="s">
        <v>38</v>
      </c>
      <c r="I1060" s="47">
        <v>10732981.609999999</v>
      </c>
      <c r="J1060" s="47">
        <v>8586385.2899999991</v>
      </c>
      <c r="K1060" s="10">
        <v>80</v>
      </c>
      <c r="L1060" s="21">
        <v>4293192.6440000003</v>
      </c>
      <c r="M1060" s="47"/>
      <c r="N1060" s="47">
        <f t="shared" si="68"/>
        <v>8586385.2899999991</v>
      </c>
      <c r="O1060" s="120">
        <f t="shared" si="69"/>
        <v>4293192.6440000003</v>
      </c>
      <c r="P1060" s="92"/>
      <c r="Q1060" s="39" t="s">
        <v>2745</v>
      </c>
      <c r="R1060" s="61"/>
    </row>
    <row r="1061" spans="1:18" s="44" customFormat="1" ht="32.25" customHeight="1" outlineLevel="1" x14ac:dyDescent="0.25">
      <c r="A1061" s="155"/>
      <c r="B1061" s="156"/>
      <c r="C1061" s="154" t="s">
        <v>1947</v>
      </c>
      <c r="D1061" s="68"/>
      <c r="E1061" s="167"/>
      <c r="F1061" s="68"/>
      <c r="G1061" s="156"/>
      <c r="H1061" s="10"/>
      <c r="I1061" s="69">
        <f t="shared" ref="I1061:O1061" si="70">SUBTOTAL(9,I1036:I1060)</f>
        <v>107362387.51000002</v>
      </c>
      <c r="J1061" s="69">
        <f t="shared" si="70"/>
        <v>99201946.650000006</v>
      </c>
      <c r="K1061" s="129">
        <f t="shared" si="70"/>
        <v>2160</v>
      </c>
      <c r="L1061" s="169">
        <f t="shared" si="70"/>
        <v>42944955.004000008</v>
      </c>
      <c r="M1061" s="157">
        <f t="shared" si="70"/>
        <v>0</v>
      </c>
      <c r="N1061" s="69">
        <f t="shared" si="70"/>
        <v>99201946.650000006</v>
      </c>
      <c r="O1061" s="157">
        <f t="shared" si="70"/>
        <v>42944955.004000008</v>
      </c>
      <c r="P1061" s="92"/>
      <c r="Q1061" s="10"/>
      <c r="R1061" s="61"/>
    </row>
    <row r="1062" spans="1:18" s="44" customFormat="1" ht="32.25" customHeight="1" outlineLevel="2" x14ac:dyDescent="0.25">
      <c r="A1062" s="10" t="s">
        <v>35</v>
      </c>
      <c r="B1062" s="68" t="s">
        <v>74</v>
      </c>
      <c r="C1062" s="12" t="s">
        <v>42</v>
      </c>
      <c r="D1062" s="68" t="s">
        <v>84</v>
      </c>
      <c r="E1062" s="92" t="s">
        <v>29</v>
      </c>
      <c r="F1062" s="68" t="s">
        <v>85</v>
      </c>
      <c r="G1062" s="68" t="s">
        <v>86</v>
      </c>
      <c r="H1062" s="10" t="s">
        <v>38</v>
      </c>
      <c r="I1062" s="47">
        <v>77447973.599999994</v>
      </c>
      <c r="J1062" s="47">
        <v>61958378.880000003</v>
      </c>
      <c r="K1062" s="10">
        <v>80</v>
      </c>
      <c r="L1062" s="21">
        <f>I1062*40%</f>
        <v>30979189.439999998</v>
      </c>
      <c r="M1062" s="47">
        <v>30979189.440000001</v>
      </c>
      <c r="N1062" s="47">
        <f t="shared" ref="N1062:N1125" si="71">J1062-M1062</f>
        <v>30979189.440000001</v>
      </c>
      <c r="O1062" s="120">
        <f t="shared" ref="O1062:O1125" si="72">L1062-M1062</f>
        <v>0</v>
      </c>
      <c r="P1062" s="10"/>
      <c r="Q1062" s="11" t="s">
        <v>3007</v>
      </c>
      <c r="R1062" s="61"/>
    </row>
    <row r="1063" spans="1:18" s="44" customFormat="1" ht="32.25" customHeight="1" outlineLevel="2" x14ac:dyDescent="0.25">
      <c r="A1063" s="12" t="s">
        <v>35</v>
      </c>
      <c r="B1063" s="8" t="s">
        <v>151</v>
      </c>
      <c r="C1063" s="12" t="s">
        <v>42</v>
      </c>
      <c r="D1063" s="39" t="s">
        <v>156</v>
      </c>
      <c r="E1063" s="12" t="s">
        <v>29</v>
      </c>
      <c r="F1063" s="39" t="s">
        <v>96</v>
      </c>
      <c r="G1063" s="39" t="s">
        <v>157</v>
      </c>
      <c r="H1063" s="12" t="s">
        <v>38</v>
      </c>
      <c r="I1063" s="57">
        <v>409724.04</v>
      </c>
      <c r="J1063" s="57">
        <v>327779.23</v>
      </c>
      <c r="K1063" s="12">
        <v>80</v>
      </c>
      <c r="L1063" s="45">
        <v>327779.23</v>
      </c>
      <c r="M1063" s="57">
        <v>327779.23</v>
      </c>
      <c r="N1063" s="107">
        <f t="shared" si="71"/>
        <v>0</v>
      </c>
      <c r="O1063" s="120">
        <f t="shared" si="72"/>
        <v>0</v>
      </c>
      <c r="P1063" s="12"/>
      <c r="Q1063" s="13" t="s">
        <v>2418</v>
      </c>
      <c r="R1063" s="61"/>
    </row>
    <row r="1064" spans="1:18" s="44" customFormat="1" ht="32.25" customHeight="1" outlineLevel="2" x14ac:dyDescent="0.25">
      <c r="A1064" s="10" t="s">
        <v>35</v>
      </c>
      <c r="B1064" s="68" t="s">
        <v>322</v>
      </c>
      <c r="C1064" s="12" t="s">
        <v>42</v>
      </c>
      <c r="D1064" s="68" t="s">
        <v>332</v>
      </c>
      <c r="E1064" s="92" t="s">
        <v>29</v>
      </c>
      <c r="F1064" s="68" t="s">
        <v>96</v>
      </c>
      <c r="G1064" s="68" t="s">
        <v>331</v>
      </c>
      <c r="H1064" s="10" t="s">
        <v>38</v>
      </c>
      <c r="I1064" s="47">
        <v>277846.8</v>
      </c>
      <c r="J1064" s="47">
        <v>222277.44</v>
      </c>
      <c r="K1064" s="10">
        <v>80</v>
      </c>
      <c r="L1064" s="21">
        <f>I1064*40%</f>
        <v>111138.72</v>
      </c>
      <c r="M1064" s="47">
        <v>111138.72</v>
      </c>
      <c r="N1064" s="47">
        <f t="shared" si="71"/>
        <v>111138.72</v>
      </c>
      <c r="O1064" s="120">
        <f t="shared" si="72"/>
        <v>0</v>
      </c>
      <c r="P1064" s="10"/>
      <c r="Q1064" s="11" t="s">
        <v>2419</v>
      </c>
      <c r="R1064" s="61"/>
    </row>
    <row r="1065" spans="1:18" s="44" customFormat="1" ht="32.25" customHeight="1" outlineLevel="2" x14ac:dyDescent="0.25">
      <c r="A1065" s="10" t="s">
        <v>35</v>
      </c>
      <c r="B1065" s="68" t="s">
        <v>489</v>
      </c>
      <c r="C1065" s="12" t="s">
        <v>42</v>
      </c>
      <c r="D1065" s="68" t="s">
        <v>495</v>
      </c>
      <c r="E1065" s="92" t="s">
        <v>29</v>
      </c>
      <c r="F1065" s="68" t="s">
        <v>496</v>
      </c>
      <c r="G1065" s="68" t="s">
        <v>493</v>
      </c>
      <c r="H1065" s="10" t="s">
        <v>38</v>
      </c>
      <c r="I1065" s="47">
        <v>38092.800000000003</v>
      </c>
      <c r="J1065" s="47">
        <v>38092.800000000003</v>
      </c>
      <c r="K1065" s="10">
        <v>100</v>
      </c>
      <c r="L1065" s="126">
        <v>38092.800000000003</v>
      </c>
      <c r="M1065" s="47">
        <v>38092.800000000003</v>
      </c>
      <c r="N1065" s="47">
        <f t="shared" si="71"/>
        <v>0</v>
      </c>
      <c r="O1065" s="120">
        <f t="shared" si="72"/>
        <v>0</v>
      </c>
      <c r="P1065" s="10"/>
      <c r="Q1065" s="11" t="s">
        <v>3008</v>
      </c>
      <c r="R1065" s="61"/>
    </row>
    <row r="1066" spans="1:18" s="44" customFormat="1" ht="32.25" customHeight="1" outlineLevel="2" x14ac:dyDescent="0.25">
      <c r="A1066" s="10" t="s">
        <v>35</v>
      </c>
      <c r="B1066" s="68" t="s">
        <v>539</v>
      </c>
      <c r="C1066" s="12" t="s">
        <v>42</v>
      </c>
      <c r="D1066" s="68" t="s">
        <v>543</v>
      </c>
      <c r="E1066" s="92" t="s">
        <v>29</v>
      </c>
      <c r="F1066" s="68" t="s">
        <v>85</v>
      </c>
      <c r="G1066" s="68" t="s">
        <v>544</v>
      </c>
      <c r="H1066" s="10" t="s">
        <v>38</v>
      </c>
      <c r="I1066" s="47">
        <v>557411952.07000005</v>
      </c>
      <c r="J1066" s="47">
        <v>445929561.66000003</v>
      </c>
      <c r="K1066" s="10">
        <v>80</v>
      </c>
      <c r="L1066" s="126">
        <v>222964780.83000001</v>
      </c>
      <c r="M1066" s="47">
        <v>222964780.83000001</v>
      </c>
      <c r="N1066" s="47">
        <f t="shared" si="71"/>
        <v>222964780.83000001</v>
      </c>
      <c r="O1066" s="120">
        <f t="shared" si="72"/>
        <v>0</v>
      </c>
      <c r="P1066" s="10"/>
      <c r="Q1066" s="11" t="s">
        <v>2526</v>
      </c>
      <c r="R1066" s="61"/>
    </row>
    <row r="1067" spans="1:18" s="53" customFormat="1" ht="32.25" customHeight="1" outlineLevel="2" x14ac:dyDescent="0.25">
      <c r="A1067" s="3" t="s">
        <v>35</v>
      </c>
      <c r="B1067" s="2" t="s">
        <v>2751</v>
      </c>
      <c r="C1067" s="12" t="s">
        <v>42</v>
      </c>
      <c r="D1067" s="2" t="s">
        <v>620</v>
      </c>
      <c r="E1067" s="3" t="s">
        <v>29</v>
      </c>
      <c r="F1067" s="2" t="s">
        <v>621</v>
      </c>
      <c r="G1067" s="2" t="s">
        <v>614</v>
      </c>
      <c r="H1067" s="3" t="s">
        <v>38</v>
      </c>
      <c r="I1067" s="5">
        <v>39292500</v>
      </c>
      <c r="J1067" s="5">
        <v>25540125</v>
      </c>
      <c r="K1067" s="92">
        <v>65</v>
      </c>
      <c r="L1067" s="21">
        <f>I1067*40%</f>
        <v>15717000</v>
      </c>
      <c r="M1067" s="5">
        <v>15717000</v>
      </c>
      <c r="N1067" s="107">
        <f t="shared" si="71"/>
        <v>9823125</v>
      </c>
      <c r="O1067" s="120">
        <f t="shared" si="72"/>
        <v>0</v>
      </c>
      <c r="P1067" s="1">
        <v>45538</v>
      </c>
      <c r="Q1067" s="2" t="s">
        <v>2752</v>
      </c>
      <c r="R1067" s="144"/>
    </row>
    <row r="1068" spans="1:18" s="44" customFormat="1" ht="32.25" customHeight="1" outlineLevel="2" x14ac:dyDescent="0.25">
      <c r="A1068" s="3" t="s">
        <v>35</v>
      </c>
      <c r="B1068" s="2" t="s">
        <v>751</v>
      </c>
      <c r="C1068" s="12" t="s">
        <v>42</v>
      </c>
      <c r="D1068" s="2" t="s">
        <v>760</v>
      </c>
      <c r="E1068" s="3" t="s">
        <v>29</v>
      </c>
      <c r="F1068" s="2" t="s">
        <v>85</v>
      </c>
      <c r="G1068" s="2" t="s">
        <v>761</v>
      </c>
      <c r="H1068" s="3" t="s">
        <v>38</v>
      </c>
      <c r="I1068" s="5">
        <v>16188063.6</v>
      </c>
      <c r="J1068" s="5">
        <v>12950450.880000001</v>
      </c>
      <c r="K1068" s="3">
        <v>80</v>
      </c>
      <c r="L1068" s="21">
        <f>I1068*40%</f>
        <v>6475225.4400000004</v>
      </c>
      <c r="M1068" s="5">
        <v>6475225.4400000004</v>
      </c>
      <c r="N1068" s="107">
        <f t="shared" si="71"/>
        <v>6475225.4400000004</v>
      </c>
      <c r="O1068" s="120">
        <f t="shared" si="72"/>
        <v>0</v>
      </c>
      <c r="P1068" s="3"/>
      <c r="Q1068" s="2" t="s">
        <v>2420</v>
      </c>
      <c r="R1068" s="61"/>
    </row>
    <row r="1069" spans="1:18" s="44" customFormat="1" ht="32.25" customHeight="1" outlineLevel="2" x14ac:dyDescent="0.25">
      <c r="A1069" s="3" t="s">
        <v>35</v>
      </c>
      <c r="B1069" s="2" t="s">
        <v>793</v>
      </c>
      <c r="C1069" s="12" t="s">
        <v>42</v>
      </c>
      <c r="D1069" s="2" t="s">
        <v>802</v>
      </c>
      <c r="E1069" s="3" t="s">
        <v>29</v>
      </c>
      <c r="F1069" s="2" t="s">
        <v>85</v>
      </c>
      <c r="G1069" s="2" t="s">
        <v>228</v>
      </c>
      <c r="H1069" s="3" t="s">
        <v>38</v>
      </c>
      <c r="I1069" s="5">
        <v>34507194.670000002</v>
      </c>
      <c r="J1069" s="5">
        <v>27605755.739999998</v>
      </c>
      <c r="K1069" s="3">
        <v>80</v>
      </c>
      <c r="L1069" s="21">
        <v>13802877.869999999</v>
      </c>
      <c r="M1069" s="5">
        <v>13802877.869999999</v>
      </c>
      <c r="N1069" s="107">
        <f t="shared" si="71"/>
        <v>13802877.869999999</v>
      </c>
      <c r="O1069" s="120">
        <f t="shared" si="72"/>
        <v>0</v>
      </c>
      <c r="P1069" s="3"/>
      <c r="Q1069" s="2" t="s">
        <v>1980</v>
      </c>
      <c r="R1069" s="61"/>
    </row>
    <row r="1070" spans="1:18" s="44" customFormat="1" ht="32.25" customHeight="1" outlineLevel="2" x14ac:dyDescent="0.25">
      <c r="A1070" s="3" t="s">
        <v>35</v>
      </c>
      <c r="B1070" s="2" t="s">
        <v>905</v>
      </c>
      <c r="C1070" s="12" t="s">
        <v>42</v>
      </c>
      <c r="D1070" s="2" t="s">
        <v>920</v>
      </c>
      <c r="E1070" s="3" t="s">
        <v>29</v>
      </c>
      <c r="F1070" s="2" t="s">
        <v>83</v>
      </c>
      <c r="G1070" s="2" t="s">
        <v>117</v>
      </c>
      <c r="H1070" s="3" t="s">
        <v>38</v>
      </c>
      <c r="I1070" s="5">
        <v>329723776.80000001</v>
      </c>
      <c r="J1070" s="5">
        <v>263779021.44</v>
      </c>
      <c r="K1070" s="3">
        <v>80</v>
      </c>
      <c r="L1070" s="21">
        <v>123522778.56</v>
      </c>
      <c r="M1070" s="5">
        <v>123522778.56</v>
      </c>
      <c r="N1070" s="107">
        <f t="shared" si="71"/>
        <v>140256242.88</v>
      </c>
      <c r="O1070" s="120">
        <f t="shared" si="72"/>
        <v>0</v>
      </c>
      <c r="P1070" s="3" t="s">
        <v>1981</v>
      </c>
      <c r="Q1070" s="2" t="s">
        <v>1975</v>
      </c>
      <c r="R1070" s="61"/>
    </row>
    <row r="1071" spans="1:18" s="44" customFormat="1" ht="32.25" customHeight="1" outlineLevel="2" x14ac:dyDescent="0.25">
      <c r="A1071" s="3" t="s">
        <v>35</v>
      </c>
      <c r="B1071" s="2" t="s">
        <v>1030</v>
      </c>
      <c r="C1071" s="12" t="s">
        <v>42</v>
      </c>
      <c r="D1071" s="2" t="s">
        <v>1039</v>
      </c>
      <c r="E1071" s="3" t="s">
        <v>29</v>
      </c>
      <c r="F1071" s="2" t="s">
        <v>1040</v>
      </c>
      <c r="G1071" s="2" t="s">
        <v>1035</v>
      </c>
      <c r="H1071" s="3" t="s">
        <v>38</v>
      </c>
      <c r="I1071" s="5">
        <v>96910542.859999999</v>
      </c>
      <c r="J1071" s="5">
        <v>77528434.290000007</v>
      </c>
      <c r="K1071" s="3">
        <v>80</v>
      </c>
      <c r="L1071" s="21">
        <f>I1071*40%</f>
        <v>38764217.144000001</v>
      </c>
      <c r="M1071" s="5">
        <v>38764217.140000001</v>
      </c>
      <c r="N1071" s="107">
        <f t="shared" si="71"/>
        <v>38764217.150000006</v>
      </c>
      <c r="O1071" s="120">
        <f t="shared" si="72"/>
        <v>4.0000006556510925E-3</v>
      </c>
      <c r="P1071" s="4">
        <v>45536</v>
      </c>
      <c r="Q1071" s="3" t="s">
        <v>2421</v>
      </c>
      <c r="R1071" s="61"/>
    </row>
    <row r="1072" spans="1:18" s="44" customFormat="1" ht="32.25" customHeight="1" outlineLevel="2" x14ac:dyDescent="0.25">
      <c r="A1072" s="3" t="s">
        <v>35</v>
      </c>
      <c r="B1072" s="2" t="s">
        <v>2753</v>
      </c>
      <c r="C1072" s="12" t="s">
        <v>42</v>
      </c>
      <c r="D1072" s="2" t="s">
        <v>1067</v>
      </c>
      <c r="E1072" s="3" t="s">
        <v>29</v>
      </c>
      <c r="F1072" s="2" t="s">
        <v>496</v>
      </c>
      <c r="G1072" s="2" t="s">
        <v>1062</v>
      </c>
      <c r="H1072" s="3" t="s">
        <v>38</v>
      </c>
      <c r="I1072" s="5">
        <v>212784</v>
      </c>
      <c r="J1072" s="5">
        <v>212784</v>
      </c>
      <c r="K1072" s="3">
        <v>100</v>
      </c>
      <c r="L1072" s="21">
        <v>212784</v>
      </c>
      <c r="M1072" s="5">
        <v>212784</v>
      </c>
      <c r="N1072" s="107">
        <f t="shared" si="71"/>
        <v>0</v>
      </c>
      <c r="O1072" s="120">
        <f t="shared" si="72"/>
        <v>0</v>
      </c>
      <c r="P1072" s="130">
        <v>45538</v>
      </c>
      <c r="Q1072" s="2" t="s">
        <v>2658</v>
      </c>
      <c r="R1072" s="61"/>
    </row>
    <row r="1073" spans="1:18" s="44" customFormat="1" ht="32.25" customHeight="1" outlineLevel="2" x14ac:dyDescent="0.25">
      <c r="A1073" s="3" t="s">
        <v>35</v>
      </c>
      <c r="B1073" s="2" t="s">
        <v>1090</v>
      </c>
      <c r="C1073" s="12" t="s">
        <v>42</v>
      </c>
      <c r="D1073" s="2" t="s">
        <v>1095</v>
      </c>
      <c r="E1073" s="3" t="s">
        <v>29</v>
      </c>
      <c r="F1073" s="2" t="s">
        <v>496</v>
      </c>
      <c r="G1073" s="2" t="s">
        <v>1094</v>
      </c>
      <c r="H1073" s="3" t="s">
        <v>38</v>
      </c>
      <c r="I1073" s="5">
        <v>8184</v>
      </c>
      <c r="J1073" s="5">
        <v>8184</v>
      </c>
      <c r="K1073" s="3">
        <v>100</v>
      </c>
      <c r="L1073" s="21">
        <v>8184</v>
      </c>
      <c r="M1073" s="5">
        <v>8184</v>
      </c>
      <c r="N1073" s="107">
        <f t="shared" si="71"/>
        <v>0</v>
      </c>
      <c r="O1073" s="120">
        <f t="shared" si="72"/>
        <v>0</v>
      </c>
      <c r="P1073" s="92"/>
      <c r="Q1073" s="2" t="s">
        <v>2113</v>
      </c>
      <c r="R1073" s="61"/>
    </row>
    <row r="1074" spans="1:18" s="44" customFormat="1" ht="32.25" customHeight="1" outlineLevel="2" x14ac:dyDescent="0.25">
      <c r="A1074" s="3" t="s">
        <v>35</v>
      </c>
      <c r="B1074" s="2" t="s">
        <v>1708</v>
      </c>
      <c r="C1074" s="12" t="s">
        <v>42</v>
      </c>
      <c r="D1074" s="2" t="s">
        <v>1717</v>
      </c>
      <c r="E1074" s="3" t="s">
        <v>29</v>
      </c>
      <c r="F1074" s="2" t="s">
        <v>85</v>
      </c>
      <c r="G1074" s="2" t="s">
        <v>1715</v>
      </c>
      <c r="H1074" s="3" t="s">
        <v>38</v>
      </c>
      <c r="I1074" s="5">
        <v>234875.59</v>
      </c>
      <c r="J1074" s="5">
        <v>187900.47</v>
      </c>
      <c r="K1074" s="3">
        <v>80</v>
      </c>
      <c r="L1074" s="21">
        <v>93950.24</v>
      </c>
      <c r="M1074" s="5">
        <v>93950.24</v>
      </c>
      <c r="N1074" s="107">
        <f t="shared" si="71"/>
        <v>93950.23</v>
      </c>
      <c r="O1074" s="120">
        <f t="shared" si="72"/>
        <v>0</v>
      </c>
      <c r="P1074" s="92"/>
      <c r="Q1074" s="2" t="s">
        <v>1975</v>
      </c>
      <c r="R1074" s="61"/>
    </row>
    <row r="1075" spans="1:18" s="44" customFormat="1" ht="32.25" customHeight="1" outlineLevel="2" x14ac:dyDescent="0.25">
      <c r="A1075" s="12" t="s">
        <v>35</v>
      </c>
      <c r="B1075" s="8" t="s">
        <v>2530</v>
      </c>
      <c r="C1075" s="12" t="s">
        <v>42</v>
      </c>
      <c r="D1075" s="39" t="s">
        <v>1899</v>
      </c>
      <c r="E1075" s="12" t="s">
        <v>29</v>
      </c>
      <c r="F1075" s="39" t="s">
        <v>85</v>
      </c>
      <c r="G1075" s="39" t="s">
        <v>1155</v>
      </c>
      <c r="H1075" s="12" t="s">
        <v>38</v>
      </c>
      <c r="I1075" s="57">
        <v>9310899.5999999996</v>
      </c>
      <c r="J1075" s="57">
        <v>2416839.36</v>
      </c>
      <c r="K1075" s="12">
        <v>26</v>
      </c>
      <c r="L1075" s="21">
        <v>1208419.68</v>
      </c>
      <c r="M1075" s="57">
        <v>1208419.68</v>
      </c>
      <c r="N1075" s="107">
        <f t="shared" si="71"/>
        <v>1208419.68</v>
      </c>
      <c r="O1075" s="120">
        <f t="shared" si="72"/>
        <v>0</v>
      </c>
      <c r="P1075" s="131"/>
      <c r="Q1075" s="8" t="s">
        <v>2531</v>
      </c>
      <c r="R1075" s="61"/>
    </row>
    <row r="1076" spans="1:18" s="44" customFormat="1" ht="47.25" customHeight="1" outlineLevel="2" x14ac:dyDescent="0.25">
      <c r="A1076" s="3" t="s">
        <v>35</v>
      </c>
      <c r="B1076" s="2" t="s">
        <v>1925</v>
      </c>
      <c r="C1076" s="12" t="s">
        <v>42</v>
      </c>
      <c r="D1076" s="2" t="s">
        <v>1928</v>
      </c>
      <c r="E1076" s="3" t="s">
        <v>29</v>
      </c>
      <c r="F1076" s="2" t="s">
        <v>1929</v>
      </c>
      <c r="G1076" s="2" t="s">
        <v>1926</v>
      </c>
      <c r="H1076" s="3" t="s">
        <v>38</v>
      </c>
      <c r="I1076" s="5">
        <v>429815.12</v>
      </c>
      <c r="J1076" s="5">
        <v>214907.56</v>
      </c>
      <c r="K1076" s="3">
        <v>50</v>
      </c>
      <c r="L1076" s="21">
        <f>I1076*40%</f>
        <v>171926.04800000001</v>
      </c>
      <c r="M1076" s="5"/>
      <c r="N1076" s="107">
        <f t="shared" si="71"/>
        <v>214907.56</v>
      </c>
      <c r="O1076" s="120">
        <f t="shared" si="72"/>
        <v>171926.04800000001</v>
      </c>
      <c r="P1076" s="130">
        <v>45454</v>
      </c>
      <c r="Q1076" s="2" t="s">
        <v>3009</v>
      </c>
      <c r="R1076" s="61"/>
    </row>
    <row r="1077" spans="1:18" s="44" customFormat="1" ht="47.25" customHeight="1" outlineLevel="2" x14ac:dyDescent="0.25">
      <c r="A1077" s="3" t="s">
        <v>35</v>
      </c>
      <c r="B1077" s="2" t="s">
        <v>2754</v>
      </c>
      <c r="C1077" s="12" t="s">
        <v>42</v>
      </c>
      <c r="D1077" s="2" t="s">
        <v>871</v>
      </c>
      <c r="E1077" s="3" t="s">
        <v>29</v>
      </c>
      <c r="F1077" s="2" t="s">
        <v>872</v>
      </c>
      <c r="G1077" s="2" t="s">
        <v>873</v>
      </c>
      <c r="H1077" s="3" t="s">
        <v>38</v>
      </c>
      <c r="I1077" s="5">
        <v>2012593591.27</v>
      </c>
      <c r="J1077" s="5">
        <v>805037436.50999999</v>
      </c>
      <c r="K1077" s="3">
        <v>40</v>
      </c>
      <c r="L1077" s="256">
        <v>805037436.50999999</v>
      </c>
      <c r="M1077" s="5">
        <v>805037436.50999999</v>
      </c>
      <c r="N1077" s="107">
        <f t="shared" si="71"/>
        <v>0</v>
      </c>
      <c r="O1077" s="120">
        <f t="shared" si="72"/>
        <v>0</v>
      </c>
      <c r="P1077" s="130">
        <v>45537</v>
      </c>
      <c r="Q1077" s="2" t="s">
        <v>2755</v>
      </c>
      <c r="R1077" s="61"/>
    </row>
    <row r="1078" spans="1:18" s="44" customFormat="1" ht="47.25" customHeight="1" outlineLevel="2" x14ac:dyDescent="0.25">
      <c r="A1078" s="3" t="s">
        <v>35</v>
      </c>
      <c r="B1078" s="2" t="s">
        <v>2754</v>
      </c>
      <c r="C1078" s="12" t="s">
        <v>42</v>
      </c>
      <c r="D1078" s="2" t="s">
        <v>871</v>
      </c>
      <c r="E1078" s="3" t="s">
        <v>29</v>
      </c>
      <c r="F1078" s="2" t="s">
        <v>874</v>
      </c>
      <c r="G1078" s="2" t="s">
        <v>873</v>
      </c>
      <c r="H1078" s="3" t="s">
        <v>38</v>
      </c>
      <c r="I1078" s="5">
        <v>2012593591.27</v>
      </c>
      <c r="J1078" s="5">
        <v>201259359.13</v>
      </c>
      <c r="K1078" s="3">
        <v>10</v>
      </c>
      <c r="L1078" s="257"/>
      <c r="M1078" s="5"/>
      <c r="N1078" s="107">
        <f t="shared" si="71"/>
        <v>201259359.13</v>
      </c>
      <c r="O1078" s="57">
        <f t="shared" si="72"/>
        <v>0</v>
      </c>
      <c r="P1078" s="92"/>
      <c r="Q1078" s="2" t="s">
        <v>2422</v>
      </c>
      <c r="R1078" s="61"/>
    </row>
    <row r="1079" spans="1:18" s="53" customFormat="1" ht="47.25" customHeight="1" outlineLevel="2" x14ac:dyDescent="0.25">
      <c r="A1079" s="3" t="s">
        <v>35</v>
      </c>
      <c r="B1079" s="2" t="s">
        <v>91</v>
      </c>
      <c r="C1079" s="12" t="s">
        <v>42</v>
      </c>
      <c r="D1079" s="2" t="s">
        <v>95</v>
      </c>
      <c r="E1079" s="3" t="s">
        <v>1949</v>
      </c>
      <c r="F1079" s="2" t="s">
        <v>96</v>
      </c>
      <c r="G1079" s="2" t="s">
        <v>97</v>
      </c>
      <c r="H1079" s="3" t="s">
        <v>38</v>
      </c>
      <c r="I1079" s="5">
        <v>73039330.019999996</v>
      </c>
      <c r="J1079" s="5">
        <v>58431464.020000003</v>
      </c>
      <c r="K1079" s="3">
        <v>80</v>
      </c>
      <c r="L1079" s="21">
        <f t="shared" ref="L1079:L1094" si="73">I1079*40%</f>
        <v>29215732.008000001</v>
      </c>
      <c r="M1079" s="5"/>
      <c r="N1079" s="107">
        <f t="shared" si="71"/>
        <v>58431464.020000003</v>
      </c>
      <c r="O1079" s="120">
        <f t="shared" si="72"/>
        <v>29215732.008000001</v>
      </c>
      <c r="P1079" s="92" t="s">
        <v>2044</v>
      </c>
      <c r="Q1079" s="2" t="s">
        <v>2423</v>
      </c>
      <c r="R1079" s="144"/>
    </row>
    <row r="1080" spans="1:18" s="44" customFormat="1" ht="47.25" customHeight="1" outlineLevel="2" x14ac:dyDescent="0.25">
      <c r="A1080" s="3" t="s">
        <v>35</v>
      </c>
      <c r="B1080" s="2" t="s">
        <v>116</v>
      </c>
      <c r="C1080" s="12" t="s">
        <v>42</v>
      </c>
      <c r="D1080" s="2" t="s">
        <v>128</v>
      </c>
      <c r="E1080" s="3" t="s">
        <v>1949</v>
      </c>
      <c r="F1080" s="2" t="s">
        <v>96</v>
      </c>
      <c r="G1080" s="2" t="s">
        <v>127</v>
      </c>
      <c r="H1080" s="3" t="s">
        <v>38</v>
      </c>
      <c r="I1080" s="5">
        <v>1445625.85</v>
      </c>
      <c r="J1080" s="5">
        <v>1156500.68</v>
      </c>
      <c r="K1080" s="3">
        <v>80</v>
      </c>
      <c r="L1080" s="21">
        <f t="shared" si="73"/>
        <v>578250.34000000008</v>
      </c>
      <c r="M1080" s="5"/>
      <c r="N1080" s="107">
        <f t="shared" si="71"/>
        <v>1156500.68</v>
      </c>
      <c r="O1080" s="120">
        <f t="shared" si="72"/>
        <v>578250.34000000008</v>
      </c>
      <c r="P1080" s="130">
        <v>45562</v>
      </c>
      <c r="Q1080" s="2" t="s">
        <v>2424</v>
      </c>
      <c r="R1080" s="61"/>
    </row>
    <row r="1081" spans="1:18" s="44" customFormat="1" ht="47.25" customHeight="1" outlineLevel="2" x14ac:dyDescent="0.25">
      <c r="A1081" s="3" t="s">
        <v>35</v>
      </c>
      <c r="B1081" s="2" t="s">
        <v>136</v>
      </c>
      <c r="C1081" s="12" t="s">
        <v>42</v>
      </c>
      <c r="D1081" s="2" t="s">
        <v>144</v>
      </c>
      <c r="E1081" s="3" t="s">
        <v>1949</v>
      </c>
      <c r="F1081" s="2" t="s">
        <v>96</v>
      </c>
      <c r="G1081" s="2" t="s">
        <v>143</v>
      </c>
      <c r="H1081" s="3" t="s">
        <v>38</v>
      </c>
      <c r="I1081" s="5">
        <v>444887.45</v>
      </c>
      <c r="J1081" s="5">
        <v>355909.96</v>
      </c>
      <c r="K1081" s="3">
        <v>80</v>
      </c>
      <c r="L1081" s="21">
        <f t="shared" si="73"/>
        <v>177954.98</v>
      </c>
      <c r="M1081" s="5"/>
      <c r="N1081" s="107">
        <f t="shared" si="71"/>
        <v>355909.96</v>
      </c>
      <c r="O1081" s="120">
        <f t="shared" si="72"/>
        <v>177954.98</v>
      </c>
      <c r="P1081" s="92" t="s">
        <v>1983</v>
      </c>
      <c r="Q1081" s="2" t="s">
        <v>3010</v>
      </c>
      <c r="R1081" s="61"/>
    </row>
    <row r="1082" spans="1:18" s="44" customFormat="1" ht="47.25" customHeight="1" outlineLevel="2" x14ac:dyDescent="0.25">
      <c r="A1082" s="12" t="s">
        <v>35</v>
      </c>
      <c r="B1082" s="39" t="s">
        <v>151</v>
      </c>
      <c r="C1082" s="12" t="s">
        <v>42</v>
      </c>
      <c r="D1082" s="39" t="s">
        <v>159</v>
      </c>
      <c r="E1082" s="12" t="s">
        <v>1949</v>
      </c>
      <c r="F1082" s="39" t="s">
        <v>96</v>
      </c>
      <c r="G1082" s="39" t="s">
        <v>160</v>
      </c>
      <c r="H1082" s="12" t="s">
        <v>38</v>
      </c>
      <c r="I1082" s="57">
        <v>860420.48</v>
      </c>
      <c r="J1082" s="57">
        <v>688336.38</v>
      </c>
      <c r="K1082" s="12">
        <v>80</v>
      </c>
      <c r="L1082" s="21">
        <f t="shared" si="73"/>
        <v>344168.19200000004</v>
      </c>
      <c r="M1082" s="57"/>
      <c r="N1082" s="107">
        <f t="shared" si="71"/>
        <v>688336.38</v>
      </c>
      <c r="O1082" s="120">
        <f t="shared" si="72"/>
        <v>344168.19200000004</v>
      </c>
      <c r="P1082" s="132">
        <v>45562</v>
      </c>
      <c r="Q1082" s="8" t="s">
        <v>3011</v>
      </c>
      <c r="R1082" s="61"/>
    </row>
    <row r="1083" spans="1:18" s="44" customFormat="1" ht="47.25" customHeight="1" outlineLevel="2" x14ac:dyDescent="0.25">
      <c r="A1083" s="3" t="s">
        <v>35</v>
      </c>
      <c r="B1083" s="2" t="s">
        <v>174</v>
      </c>
      <c r="C1083" s="12" t="s">
        <v>42</v>
      </c>
      <c r="D1083" s="2" t="s">
        <v>180</v>
      </c>
      <c r="E1083" s="3" t="s">
        <v>1949</v>
      </c>
      <c r="F1083" s="2" t="s">
        <v>96</v>
      </c>
      <c r="G1083" s="2" t="s">
        <v>176</v>
      </c>
      <c r="H1083" s="3" t="s">
        <v>38</v>
      </c>
      <c r="I1083" s="5">
        <v>138846.82999999999</v>
      </c>
      <c r="J1083" s="5">
        <v>55538.732000000004</v>
      </c>
      <c r="K1083" s="3">
        <v>80</v>
      </c>
      <c r="L1083" s="21">
        <f t="shared" si="73"/>
        <v>55538.731999999996</v>
      </c>
      <c r="M1083" s="5"/>
      <c r="N1083" s="107">
        <f t="shared" si="71"/>
        <v>55538.732000000004</v>
      </c>
      <c r="O1083" s="120">
        <f t="shared" si="72"/>
        <v>55538.731999999996</v>
      </c>
      <c r="P1083" s="133">
        <v>45555</v>
      </c>
      <c r="Q1083" s="2" t="s">
        <v>3012</v>
      </c>
      <c r="R1083" s="61"/>
    </row>
    <row r="1084" spans="1:18" s="44" customFormat="1" ht="47.25" customHeight="1" outlineLevel="2" x14ac:dyDescent="0.25">
      <c r="A1084" s="3" t="s">
        <v>35</v>
      </c>
      <c r="B1084" s="2" t="s">
        <v>183</v>
      </c>
      <c r="C1084" s="12" t="s">
        <v>42</v>
      </c>
      <c r="D1084" s="2" t="s">
        <v>194</v>
      </c>
      <c r="E1084" s="3" t="s">
        <v>1949</v>
      </c>
      <c r="F1084" s="2" t="s">
        <v>96</v>
      </c>
      <c r="G1084" s="2" t="s">
        <v>185</v>
      </c>
      <c r="H1084" s="3" t="s">
        <v>38</v>
      </c>
      <c r="I1084" s="5">
        <v>103412.28</v>
      </c>
      <c r="J1084" s="5">
        <v>82729.820000000007</v>
      </c>
      <c r="K1084" s="3">
        <v>80</v>
      </c>
      <c r="L1084" s="21">
        <f t="shared" si="73"/>
        <v>41364.912000000004</v>
      </c>
      <c r="M1084" s="5"/>
      <c r="N1084" s="107">
        <f t="shared" si="71"/>
        <v>82729.820000000007</v>
      </c>
      <c r="O1084" s="120">
        <f t="shared" si="72"/>
        <v>41364.912000000004</v>
      </c>
      <c r="P1084" s="130">
        <v>45569</v>
      </c>
      <c r="Q1084" s="2" t="s">
        <v>3013</v>
      </c>
      <c r="R1084" s="61"/>
    </row>
    <row r="1085" spans="1:18" s="44" customFormat="1" ht="47.25" customHeight="1" outlineLevel="2" x14ac:dyDescent="0.25">
      <c r="A1085" s="3" t="s">
        <v>35</v>
      </c>
      <c r="B1085" s="2" t="s">
        <v>196</v>
      </c>
      <c r="C1085" s="12" t="s">
        <v>42</v>
      </c>
      <c r="D1085" s="2" t="s">
        <v>204</v>
      </c>
      <c r="E1085" s="3" t="s">
        <v>1949</v>
      </c>
      <c r="F1085" s="2" t="s">
        <v>96</v>
      </c>
      <c r="G1085" s="2" t="s">
        <v>205</v>
      </c>
      <c r="H1085" s="3" t="s">
        <v>38</v>
      </c>
      <c r="I1085" s="5">
        <v>3683116.8</v>
      </c>
      <c r="J1085" s="5">
        <v>2946493.44</v>
      </c>
      <c r="K1085" s="3">
        <v>80</v>
      </c>
      <c r="L1085" s="21">
        <f t="shared" si="73"/>
        <v>1473246.72</v>
      </c>
      <c r="M1085" s="5"/>
      <c r="N1085" s="107">
        <f t="shared" si="71"/>
        <v>2946493.44</v>
      </c>
      <c r="O1085" s="120">
        <f t="shared" si="72"/>
        <v>1473246.72</v>
      </c>
      <c r="P1085" s="132">
        <v>45555</v>
      </c>
      <c r="Q1085" s="39" t="s">
        <v>2425</v>
      </c>
      <c r="R1085" s="61"/>
    </row>
    <row r="1086" spans="1:18" s="44" customFormat="1" ht="46.5" customHeight="1" outlineLevel="2" x14ac:dyDescent="0.25">
      <c r="A1086" s="3" t="s">
        <v>35</v>
      </c>
      <c r="B1086" s="2" t="s">
        <v>206</v>
      </c>
      <c r="C1086" s="12" t="s">
        <v>42</v>
      </c>
      <c r="D1086" s="2" t="s">
        <v>220</v>
      </c>
      <c r="E1086" s="3" t="s">
        <v>1949</v>
      </c>
      <c r="F1086" s="2" t="s">
        <v>96</v>
      </c>
      <c r="G1086" s="2" t="s">
        <v>221</v>
      </c>
      <c r="H1086" s="3" t="s">
        <v>38</v>
      </c>
      <c r="I1086" s="5">
        <v>7572881.3799999999</v>
      </c>
      <c r="J1086" s="5">
        <v>6058305.0999999996</v>
      </c>
      <c r="K1086" s="3">
        <v>80</v>
      </c>
      <c r="L1086" s="21">
        <f t="shared" si="73"/>
        <v>3029152.5520000001</v>
      </c>
      <c r="M1086" s="5"/>
      <c r="N1086" s="107">
        <f t="shared" si="71"/>
        <v>6058305.0999999996</v>
      </c>
      <c r="O1086" s="120">
        <f t="shared" si="72"/>
        <v>3029152.5520000001</v>
      </c>
      <c r="P1086" s="92"/>
      <c r="Q1086" s="2" t="s">
        <v>3014</v>
      </c>
      <c r="R1086" s="61"/>
    </row>
    <row r="1087" spans="1:18" s="44" customFormat="1" ht="46.5" customHeight="1" outlineLevel="2" x14ac:dyDescent="0.25">
      <c r="A1087" s="3" t="s">
        <v>35</v>
      </c>
      <c r="B1087" s="2" t="s">
        <v>269</v>
      </c>
      <c r="C1087" s="12" t="s">
        <v>42</v>
      </c>
      <c r="D1087" s="2" t="s">
        <v>281</v>
      </c>
      <c r="E1087" s="3" t="s">
        <v>1949</v>
      </c>
      <c r="F1087" s="2" t="s">
        <v>96</v>
      </c>
      <c r="G1087" s="2" t="s">
        <v>282</v>
      </c>
      <c r="H1087" s="3" t="s">
        <v>38</v>
      </c>
      <c r="I1087" s="5">
        <v>23510692.02</v>
      </c>
      <c r="J1087" s="5">
        <v>18808553.620000001</v>
      </c>
      <c r="K1087" s="3">
        <v>80</v>
      </c>
      <c r="L1087" s="21">
        <f t="shared" si="73"/>
        <v>9404276.8080000002</v>
      </c>
      <c r="M1087" s="5"/>
      <c r="N1087" s="107">
        <f t="shared" si="71"/>
        <v>18808553.620000001</v>
      </c>
      <c r="O1087" s="120">
        <f t="shared" si="72"/>
        <v>9404276.8080000002</v>
      </c>
      <c r="P1087" s="130">
        <v>45562</v>
      </c>
      <c r="Q1087" s="2" t="s">
        <v>3015</v>
      </c>
      <c r="R1087" s="61"/>
    </row>
    <row r="1088" spans="1:18" s="53" customFormat="1" ht="46.5" customHeight="1" outlineLevel="2" x14ac:dyDescent="0.25">
      <c r="A1088" s="3" t="s">
        <v>35</v>
      </c>
      <c r="B1088" s="2" t="s">
        <v>283</v>
      </c>
      <c r="C1088" s="12" t="s">
        <v>42</v>
      </c>
      <c r="D1088" s="2" t="s">
        <v>297</v>
      </c>
      <c r="E1088" s="3" t="s">
        <v>1949</v>
      </c>
      <c r="F1088" s="2" t="s">
        <v>96</v>
      </c>
      <c r="G1088" s="2" t="s">
        <v>203</v>
      </c>
      <c r="H1088" s="3" t="s">
        <v>38</v>
      </c>
      <c r="I1088" s="5">
        <v>441495905.58999997</v>
      </c>
      <c r="J1088" s="5">
        <v>176598362.236</v>
      </c>
      <c r="K1088" s="3">
        <v>80</v>
      </c>
      <c r="L1088" s="21">
        <f t="shared" si="73"/>
        <v>176598362.236</v>
      </c>
      <c r="M1088" s="5"/>
      <c r="N1088" s="107">
        <f t="shared" si="71"/>
        <v>176598362.236</v>
      </c>
      <c r="O1088" s="120">
        <f t="shared" si="72"/>
        <v>176598362.236</v>
      </c>
      <c r="P1088" s="134" t="s">
        <v>3016</v>
      </c>
      <c r="Q1088" s="2" t="s">
        <v>3017</v>
      </c>
      <c r="R1088" s="144"/>
    </row>
    <row r="1089" spans="1:18" s="44" customFormat="1" ht="46.5" customHeight="1" outlineLevel="2" x14ac:dyDescent="0.25">
      <c r="A1089" s="3" t="s">
        <v>35</v>
      </c>
      <c r="B1089" s="2" t="s">
        <v>298</v>
      </c>
      <c r="C1089" s="12" t="s">
        <v>42</v>
      </c>
      <c r="D1089" s="2" t="s">
        <v>299</v>
      </c>
      <c r="E1089" s="3" t="s">
        <v>2778</v>
      </c>
      <c r="F1089" s="2" t="s">
        <v>96</v>
      </c>
      <c r="G1089" s="2" t="s">
        <v>300</v>
      </c>
      <c r="H1089" s="3" t="s">
        <v>38</v>
      </c>
      <c r="I1089" s="5">
        <v>134.75</v>
      </c>
      <c r="J1089" s="5">
        <v>50.59</v>
      </c>
      <c r="K1089" s="3">
        <v>80</v>
      </c>
      <c r="L1089" s="21">
        <v>134.75</v>
      </c>
      <c r="M1089" s="5">
        <v>13.75</v>
      </c>
      <c r="N1089" s="107">
        <v>134.75</v>
      </c>
      <c r="O1089" s="120">
        <f>L1089-M1089</f>
        <v>121</v>
      </c>
      <c r="P1089" s="92"/>
      <c r="Q1089" s="2" t="s">
        <v>2427</v>
      </c>
      <c r="R1089" s="61"/>
    </row>
    <row r="1090" spans="1:18" s="44" customFormat="1" ht="46.5" customHeight="1" outlineLevel="2" x14ac:dyDescent="0.25">
      <c r="A1090" s="3" t="s">
        <v>35</v>
      </c>
      <c r="B1090" s="2" t="s">
        <v>305</v>
      </c>
      <c r="C1090" s="12" t="s">
        <v>42</v>
      </c>
      <c r="D1090" s="2" t="s">
        <v>316</v>
      </c>
      <c r="E1090" s="3" t="s">
        <v>1949</v>
      </c>
      <c r="F1090" s="2" t="s">
        <v>96</v>
      </c>
      <c r="G1090" s="2" t="s">
        <v>310</v>
      </c>
      <c r="H1090" s="3" t="s">
        <v>38</v>
      </c>
      <c r="I1090" s="5">
        <v>1160806.6599999999</v>
      </c>
      <c r="J1090" s="5">
        <v>1160806.6599999999</v>
      </c>
      <c r="K1090" s="3">
        <v>80</v>
      </c>
      <c r="L1090" s="5">
        <v>1160806.6599999999</v>
      </c>
      <c r="M1090" s="5"/>
      <c r="N1090" s="107">
        <f t="shared" si="71"/>
        <v>1160806.6599999999</v>
      </c>
      <c r="O1090" s="120">
        <f t="shared" si="72"/>
        <v>1160806.6599999999</v>
      </c>
      <c r="P1090" s="130">
        <v>45551</v>
      </c>
      <c r="Q1090" s="2" t="s">
        <v>3018</v>
      </c>
      <c r="R1090" s="61"/>
    </row>
    <row r="1091" spans="1:18" s="44" customFormat="1" ht="32.25" customHeight="1" outlineLevel="2" x14ac:dyDescent="0.25">
      <c r="A1091" s="3" t="s">
        <v>35</v>
      </c>
      <c r="B1091" s="2" t="s">
        <v>342</v>
      </c>
      <c r="C1091" s="12" t="s">
        <v>42</v>
      </c>
      <c r="D1091" s="2" t="s">
        <v>345</v>
      </c>
      <c r="E1091" s="3" t="s">
        <v>1949</v>
      </c>
      <c r="F1091" s="2" t="s">
        <v>96</v>
      </c>
      <c r="G1091" s="2" t="s">
        <v>344</v>
      </c>
      <c r="H1091" s="3" t="s">
        <v>38</v>
      </c>
      <c r="I1091" s="5">
        <v>355249.2</v>
      </c>
      <c r="J1091" s="5">
        <v>284199.36</v>
      </c>
      <c r="K1091" s="3">
        <v>80</v>
      </c>
      <c r="L1091" s="21">
        <f t="shared" si="73"/>
        <v>142099.68000000002</v>
      </c>
      <c r="M1091" s="5"/>
      <c r="N1091" s="107">
        <f t="shared" si="71"/>
        <v>284199.36</v>
      </c>
      <c r="O1091" s="120">
        <f t="shared" si="72"/>
        <v>142099.68000000002</v>
      </c>
      <c r="P1091" s="92"/>
      <c r="Q1091" s="2" t="s">
        <v>2756</v>
      </c>
      <c r="R1091" s="61"/>
    </row>
    <row r="1092" spans="1:18" s="44" customFormat="1" ht="32.25" customHeight="1" outlineLevel="2" x14ac:dyDescent="0.25">
      <c r="A1092" s="3" t="s">
        <v>35</v>
      </c>
      <c r="B1092" s="2" t="s">
        <v>352</v>
      </c>
      <c r="C1092" s="12" t="s">
        <v>42</v>
      </c>
      <c r="D1092" s="2" t="s">
        <v>358</v>
      </c>
      <c r="E1092" s="3" t="s">
        <v>1949</v>
      </c>
      <c r="F1092" s="2" t="s">
        <v>96</v>
      </c>
      <c r="G1092" s="2" t="s">
        <v>354</v>
      </c>
      <c r="H1092" s="3" t="s">
        <v>38</v>
      </c>
      <c r="I1092" s="5">
        <v>2828316</v>
      </c>
      <c r="J1092" s="5">
        <v>2262652.7999999998</v>
      </c>
      <c r="K1092" s="3">
        <v>80</v>
      </c>
      <c r="L1092" s="21">
        <f t="shared" si="73"/>
        <v>1131326.4000000001</v>
      </c>
      <c r="M1092" s="5"/>
      <c r="N1092" s="107">
        <f t="shared" si="71"/>
        <v>2262652.7999999998</v>
      </c>
      <c r="O1092" s="120">
        <f t="shared" si="72"/>
        <v>1131326.4000000001</v>
      </c>
      <c r="P1092" s="92"/>
      <c r="Q1092" s="2" t="s">
        <v>2428</v>
      </c>
      <c r="R1092" s="61"/>
    </row>
    <row r="1093" spans="1:18" ht="32.25" customHeight="1" outlineLevel="2" x14ac:dyDescent="0.2">
      <c r="A1093" s="3" t="s">
        <v>35</v>
      </c>
      <c r="B1093" s="2" t="s">
        <v>359</v>
      </c>
      <c r="C1093" s="12" t="s">
        <v>42</v>
      </c>
      <c r="D1093" s="2" t="s">
        <v>372</v>
      </c>
      <c r="E1093" s="3" t="s">
        <v>1949</v>
      </c>
      <c r="F1093" s="2" t="s">
        <v>96</v>
      </c>
      <c r="G1093" s="2" t="s">
        <v>117</v>
      </c>
      <c r="H1093" s="3" t="s">
        <v>38</v>
      </c>
      <c r="I1093" s="5">
        <v>9012240.0899999999</v>
      </c>
      <c r="J1093" s="5">
        <v>9012240.0899999999</v>
      </c>
      <c r="K1093" s="3">
        <v>80</v>
      </c>
      <c r="L1093" s="5">
        <v>9012240.0899999999</v>
      </c>
      <c r="M1093" s="5"/>
      <c r="N1093" s="5">
        <f t="shared" si="71"/>
        <v>9012240.0899999999</v>
      </c>
      <c r="O1093" s="120">
        <f t="shared" si="72"/>
        <v>9012240.0899999999</v>
      </c>
      <c r="P1093" s="1">
        <v>45548</v>
      </c>
      <c r="Q1093" s="2" t="s">
        <v>3019</v>
      </c>
    </row>
    <row r="1094" spans="1:18" s="44" customFormat="1" ht="40.5" customHeight="1" outlineLevel="2" x14ac:dyDescent="0.25">
      <c r="A1094" s="3" t="s">
        <v>35</v>
      </c>
      <c r="B1094" s="2" t="s">
        <v>373</v>
      </c>
      <c r="C1094" s="12" t="s">
        <v>42</v>
      </c>
      <c r="D1094" s="2" t="s">
        <v>377</v>
      </c>
      <c r="E1094" s="3" t="s">
        <v>1949</v>
      </c>
      <c r="F1094" s="2" t="s">
        <v>96</v>
      </c>
      <c r="G1094" s="2" t="s">
        <v>375</v>
      </c>
      <c r="H1094" s="3" t="s">
        <v>38</v>
      </c>
      <c r="I1094" s="5">
        <v>117253.28</v>
      </c>
      <c r="J1094" s="5">
        <v>93802.62</v>
      </c>
      <c r="K1094" s="3">
        <v>80</v>
      </c>
      <c r="L1094" s="21">
        <f t="shared" si="73"/>
        <v>46901.312000000005</v>
      </c>
      <c r="M1094" s="5"/>
      <c r="N1094" s="107">
        <f t="shared" si="71"/>
        <v>93802.62</v>
      </c>
      <c r="O1094" s="120">
        <f t="shared" si="72"/>
        <v>46901.312000000005</v>
      </c>
      <c r="P1094" s="92" t="s">
        <v>1983</v>
      </c>
      <c r="Q1094" s="2" t="s">
        <v>3020</v>
      </c>
      <c r="R1094" s="61"/>
    </row>
    <row r="1095" spans="1:18" s="53" customFormat="1" ht="40.5" customHeight="1" outlineLevel="2" x14ac:dyDescent="0.25">
      <c r="A1095" s="3" t="s">
        <v>35</v>
      </c>
      <c r="B1095" s="2" t="s">
        <v>381</v>
      </c>
      <c r="C1095" s="12" t="s">
        <v>42</v>
      </c>
      <c r="D1095" s="2" t="s">
        <v>394</v>
      </c>
      <c r="E1095" s="3" t="s">
        <v>2757</v>
      </c>
      <c r="F1095" s="2" t="s">
        <v>96</v>
      </c>
      <c r="G1095" s="2" t="s">
        <v>388</v>
      </c>
      <c r="H1095" s="3" t="s">
        <v>38</v>
      </c>
      <c r="I1095" s="5">
        <v>74936391.269999996</v>
      </c>
      <c r="J1095" s="5">
        <f>I1095*0.8</f>
        <v>59949113.016000003</v>
      </c>
      <c r="K1095" s="3">
        <v>80</v>
      </c>
      <c r="L1095" s="21">
        <f>I1095*0.4</f>
        <v>29974556.508000001</v>
      </c>
      <c r="M1095" s="5"/>
      <c r="N1095" s="107">
        <f t="shared" si="71"/>
        <v>59949113.016000003</v>
      </c>
      <c r="O1095" s="120">
        <f t="shared" si="72"/>
        <v>29974556.508000001</v>
      </c>
      <c r="P1095" s="130">
        <v>45545</v>
      </c>
      <c r="Q1095" s="2" t="s">
        <v>3021</v>
      </c>
      <c r="R1095" s="144"/>
    </row>
    <row r="1096" spans="1:18" s="44" customFormat="1" ht="40.5" customHeight="1" outlineLevel="2" x14ac:dyDescent="0.25">
      <c r="A1096" s="3" t="s">
        <v>35</v>
      </c>
      <c r="B1096" s="2" t="s">
        <v>395</v>
      </c>
      <c r="C1096" s="12" t="s">
        <v>42</v>
      </c>
      <c r="D1096" s="2" t="s">
        <v>404</v>
      </c>
      <c r="E1096" s="3" t="s">
        <v>1949</v>
      </c>
      <c r="F1096" s="2" t="s">
        <v>96</v>
      </c>
      <c r="G1096" s="2" t="s">
        <v>400</v>
      </c>
      <c r="H1096" s="3" t="s">
        <v>38</v>
      </c>
      <c r="I1096" s="5">
        <v>1648126.66</v>
      </c>
      <c r="J1096" s="5">
        <v>1318501.33</v>
      </c>
      <c r="K1096" s="3">
        <v>80</v>
      </c>
      <c r="L1096" s="21">
        <f t="shared" ref="L1096:L1150" si="74">I1096*40%</f>
        <v>659250.66399999999</v>
      </c>
      <c r="M1096" s="5"/>
      <c r="N1096" s="107">
        <f t="shared" si="71"/>
        <v>1318501.33</v>
      </c>
      <c r="O1096" s="120">
        <f t="shared" si="72"/>
        <v>659250.66399999999</v>
      </c>
      <c r="P1096" s="92"/>
      <c r="Q1096" s="2" t="s">
        <v>3022</v>
      </c>
      <c r="R1096" s="61"/>
    </row>
    <row r="1097" spans="1:18" s="53" customFormat="1" ht="40.5" customHeight="1" outlineLevel="2" x14ac:dyDescent="0.25">
      <c r="A1097" s="3" t="s">
        <v>35</v>
      </c>
      <c r="B1097" s="2" t="s">
        <v>414</v>
      </c>
      <c r="C1097" s="12" t="s">
        <v>42</v>
      </c>
      <c r="D1097" s="2" t="s">
        <v>419</v>
      </c>
      <c r="E1097" s="3" t="s">
        <v>1949</v>
      </c>
      <c r="F1097" s="2" t="s">
        <v>96</v>
      </c>
      <c r="G1097" s="2" t="s">
        <v>420</v>
      </c>
      <c r="H1097" s="3" t="s">
        <v>38</v>
      </c>
      <c r="I1097" s="5">
        <v>79585702.689999998</v>
      </c>
      <c r="J1097" s="5">
        <v>63668562.149999999</v>
      </c>
      <c r="K1097" s="3">
        <v>80</v>
      </c>
      <c r="L1097" s="21">
        <f t="shared" si="74"/>
        <v>31834281.076000001</v>
      </c>
      <c r="M1097" s="5"/>
      <c r="N1097" s="107">
        <f t="shared" si="71"/>
        <v>63668562.149999999</v>
      </c>
      <c r="O1097" s="120">
        <f t="shared" si="72"/>
        <v>31834281.076000001</v>
      </c>
      <c r="P1097" s="135">
        <v>45536</v>
      </c>
      <c r="Q1097" s="2" t="s">
        <v>2758</v>
      </c>
      <c r="R1097" s="144"/>
    </row>
    <row r="1098" spans="1:18" s="53" customFormat="1" ht="40.5" customHeight="1" outlineLevel="2" x14ac:dyDescent="0.25">
      <c r="A1098" s="3" t="s">
        <v>35</v>
      </c>
      <c r="B1098" s="2" t="s">
        <v>569</v>
      </c>
      <c r="C1098" s="12" t="s">
        <v>42</v>
      </c>
      <c r="D1098" s="2" t="s">
        <v>581</v>
      </c>
      <c r="E1098" s="3" t="s">
        <v>1949</v>
      </c>
      <c r="F1098" s="2" t="s">
        <v>96</v>
      </c>
      <c r="G1098" s="2" t="s">
        <v>582</v>
      </c>
      <c r="H1098" s="3" t="s">
        <v>38</v>
      </c>
      <c r="I1098" s="5">
        <v>25531031.09</v>
      </c>
      <c r="J1098" s="5">
        <v>20424824.870000001</v>
      </c>
      <c r="K1098" s="3">
        <v>80</v>
      </c>
      <c r="L1098" s="21">
        <f t="shared" si="74"/>
        <v>10212412.436000001</v>
      </c>
      <c r="M1098" s="5"/>
      <c r="N1098" s="107">
        <f t="shared" si="71"/>
        <v>20424824.870000001</v>
      </c>
      <c r="O1098" s="120">
        <f t="shared" si="72"/>
        <v>10212412.436000001</v>
      </c>
      <c r="P1098" s="92">
        <v>45562</v>
      </c>
      <c r="Q1098" s="2" t="s">
        <v>3023</v>
      </c>
      <c r="R1098" s="144"/>
    </row>
    <row r="1099" spans="1:18" s="44" customFormat="1" ht="32.25" customHeight="1" outlineLevel="2" x14ac:dyDescent="0.25">
      <c r="A1099" s="3" t="s">
        <v>35</v>
      </c>
      <c r="B1099" s="2" t="s">
        <v>585</v>
      </c>
      <c r="C1099" s="12" t="s">
        <v>42</v>
      </c>
      <c r="D1099" s="2" t="s">
        <v>598</v>
      </c>
      <c r="E1099" s="3" t="s">
        <v>1949</v>
      </c>
      <c r="F1099" s="2" t="s">
        <v>96</v>
      </c>
      <c r="G1099" s="2" t="s">
        <v>599</v>
      </c>
      <c r="H1099" s="3" t="s">
        <v>38</v>
      </c>
      <c r="I1099" s="5">
        <v>6558471.5999999996</v>
      </c>
      <c r="J1099" s="5">
        <v>5246777.28</v>
      </c>
      <c r="K1099" s="3">
        <v>80</v>
      </c>
      <c r="L1099" s="21">
        <f t="shared" si="74"/>
        <v>2623388.64</v>
      </c>
      <c r="M1099" s="5"/>
      <c r="N1099" s="107">
        <f t="shared" si="71"/>
        <v>5246777.28</v>
      </c>
      <c r="O1099" s="120">
        <f t="shared" si="72"/>
        <v>2623388.64</v>
      </c>
      <c r="P1099" s="92">
        <v>45555</v>
      </c>
      <c r="Q1099" s="2" t="s">
        <v>3024</v>
      </c>
      <c r="R1099" s="61"/>
    </row>
    <row r="1100" spans="1:18" s="53" customFormat="1" ht="51" customHeight="1" outlineLevel="2" x14ac:dyDescent="0.25">
      <c r="A1100" s="3" t="s">
        <v>35</v>
      </c>
      <c r="B1100" s="2" t="s">
        <v>585</v>
      </c>
      <c r="C1100" s="12" t="s">
        <v>42</v>
      </c>
      <c r="D1100" s="2" t="s">
        <v>600</v>
      </c>
      <c r="E1100" s="3" t="s">
        <v>1949</v>
      </c>
      <c r="F1100" s="2" t="s">
        <v>96</v>
      </c>
      <c r="G1100" s="2" t="s">
        <v>590</v>
      </c>
      <c r="H1100" s="3" t="s">
        <v>38</v>
      </c>
      <c r="I1100" s="5">
        <v>438146622</v>
      </c>
      <c r="J1100" s="5">
        <f>I1100*0.4</f>
        <v>175258648.80000001</v>
      </c>
      <c r="K1100" s="3">
        <v>80</v>
      </c>
      <c r="L1100" s="21">
        <f t="shared" si="74"/>
        <v>175258648.80000001</v>
      </c>
      <c r="M1100" s="5"/>
      <c r="N1100" s="107">
        <f t="shared" si="71"/>
        <v>175258648.80000001</v>
      </c>
      <c r="O1100" s="120">
        <f t="shared" si="72"/>
        <v>175258648.80000001</v>
      </c>
      <c r="P1100" s="130">
        <v>45548</v>
      </c>
      <c r="Q1100" s="2" t="s">
        <v>3025</v>
      </c>
      <c r="R1100" s="144"/>
    </row>
    <row r="1101" spans="1:18" s="44" customFormat="1" ht="51" customHeight="1" outlineLevel="2" x14ac:dyDescent="0.25">
      <c r="A1101" s="3" t="s">
        <v>35</v>
      </c>
      <c r="B1101" s="2" t="s">
        <v>601</v>
      </c>
      <c r="C1101" s="12">
        <v>429</v>
      </c>
      <c r="D1101" s="2"/>
      <c r="E1101" s="3" t="s">
        <v>1949</v>
      </c>
      <c r="F1101" s="2" t="s">
        <v>96</v>
      </c>
      <c r="G1101" s="2" t="s">
        <v>2429</v>
      </c>
      <c r="H1101" s="3" t="s">
        <v>38</v>
      </c>
      <c r="I1101" s="5">
        <v>7889896.7999999998</v>
      </c>
      <c r="J1101" s="5">
        <f>I1101*0.8</f>
        <v>6311917.4400000004</v>
      </c>
      <c r="K1101" s="3">
        <v>80</v>
      </c>
      <c r="L1101" s="21">
        <f t="shared" si="74"/>
        <v>3155958.72</v>
      </c>
      <c r="M1101" s="5">
        <v>0</v>
      </c>
      <c r="N1101" s="107">
        <f t="shared" si="71"/>
        <v>6311917.4400000004</v>
      </c>
      <c r="O1101" s="120">
        <f t="shared" si="72"/>
        <v>3155958.72</v>
      </c>
      <c r="P1101" s="130">
        <v>45565</v>
      </c>
      <c r="Q1101" s="2" t="s">
        <v>3026</v>
      </c>
      <c r="R1101" s="61"/>
    </row>
    <row r="1102" spans="1:18" s="44" customFormat="1" ht="51" customHeight="1" outlineLevel="2" x14ac:dyDescent="0.25">
      <c r="A1102" s="3" t="s">
        <v>35</v>
      </c>
      <c r="B1102" s="2" t="s">
        <v>649</v>
      </c>
      <c r="C1102" s="12" t="s">
        <v>42</v>
      </c>
      <c r="D1102" s="2" t="s">
        <v>657</v>
      </c>
      <c r="E1102" s="3" t="s">
        <v>1949</v>
      </c>
      <c r="F1102" s="2" t="s">
        <v>96</v>
      </c>
      <c r="G1102" s="2" t="s">
        <v>654</v>
      </c>
      <c r="H1102" s="3" t="s">
        <v>38</v>
      </c>
      <c r="I1102" s="5">
        <v>7273306.7999999998</v>
      </c>
      <c r="J1102" s="5">
        <v>5818645.4400000004</v>
      </c>
      <c r="K1102" s="3">
        <v>80</v>
      </c>
      <c r="L1102" s="21">
        <f t="shared" si="74"/>
        <v>2909322.72</v>
      </c>
      <c r="M1102" s="5"/>
      <c r="N1102" s="107">
        <f t="shared" si="71"/>
        <v>5818645.4400000004</v>
      </c>
      <c r="O1102" s="120">
        <f t="shared" si="72"/>
        <v>2909322.72</v>
      </c>
      <c r="P1102" s="92" t="s">
        <v>1983</v>
      </c>
      <c r="Q1102" s="2" t="s">
        <v>2430</v>
      </c>
      <c r="R1102" s="61"/>
    </row>
    <row r="1103" spans="1:18" s="44" customFormat="1" ht="51" customHeight="1" outlineLevel="2" x14ac:dyDescent="0.25">
      <c r="A1103" s="3" t="s">
        <v>35</v>
      </c>
      <c r="B1103" s="2" t="s">
        <v>667</v>
      </c>
      <c r="C1103" s="12" t="s">
        <v>42</v>
      </c>
      <c r="D1103" s="2" t="s">
        <v>672</v>
      </c>
      <c r="E1103" s="3" t="s">
        <v>1949</v>
      </c>
      <c r="F1103" s="2" t="s">
        <v>96</v>
      </c>
      <c r="G1103" s="2" t="s">
        <v>671</v>
      </c>
      <c r="H1103" s="3" t="s">
        <v>38</v>
      </c>
      <c r="I1103" s="5">
        <v>54183.29</v>
      </c>
      <c r="J1103" s="5">
        <v>43346.63</v>
      </c>
      <c r="K1103" s="3">
        <v>80</v>
      </c>
      <c r="L1103" s="21">
        <f t="shared" si="74"/>
        <v>21673.316000000003</v>
      </c>
      <c r="M1103" s="5"/>
      <c r="N1103" s="107">
        <f t="shared" si="71"/>
        <v>43346.63</v>
      </c>
      <c r="O1103" s="120">
        <f t="shared" si="72"/>
        <v>21673.316000000003</v>
      </c>
      <c r="P1103" s="130">
        <v>45580</v>
      </c>
      <c r="Q1103" s="2" t="s">
        <v>2431</v>
      </c>
      <c r="R1103" s="61"/>
    </row>
    <row r="1104" spans="1:18" s="44" customFormat="1" ht="51" customHeight="1" outlineLevel="2" x14ac:dyDescent="0.25">
      <c r="A1104" s="3" t="s">
        <v>35</v>
      </c>
      <c r="B1104" s="2" t="s">
        <v>1655</v>
      </c>
      <c r="C1104" s="12" t="s">
        <v>42</v>
      </c>
      <c r="D1104" s="2" t="s">
        <v>2432</v>
      </c>
      <c r="E1104" s="3" t="s">
        <v>2082</v>
      </c>
      <c r="F1104" s="2" t="s">
        <v>96</v>
      </c>
      <c r="G1104" s="2" t="s">
        <v>669</v>
      </c>
      <c r="H1104" s="3" t="s">
        <v>38</v>
      </c>
      <c r="I1104" s="5">
        <v>16382079.460000001</v>
      </c>
      <c r="J1104" s="19">
        <f>I1104*80%</f>
        <v>13105663.568000002</v>
      </c>
      <c r="K1104" s="3">
        <v>80</v>
      </c>
      <c r="L1104" s="21">
        <f t="shared" si="74"/>
        <v>6552831.7840000009</v>
      </c>
      <c r="M1104" s="5"/>
      <c r="N1104" s="107">
        <f t="shared" si="71"/>
        <v>13105663.568000002</v>
      </c>
      <c r="O1104" s="120">
        <f t="shared" si="72"/>
        <v>6552831.7840000009</v>
      </c>
      <c r="P1104" s="130">
        <v>45541</v>
      </c>
      <c r="Q1104" s="2" t="s">
        <v>2931</v>
      </c>
      <c r="R1104" s="61"/>
    </row>
    <row r="1105" spans="1:18" s="44" customFormat="1" ht="32.25" customHeight="1" outlineLevel="2" x14ac:dyDescent="0.25">
      <c r="A1105" s="3" t="s">
        <v>35</v>
      </c>
      <c r="B1105" s="2" t="s">
        <v>686</v>
      </c>
      <c r="C1105" s="12" t="s">
        <v>42</v>
      </c>
      <c r="D1105" s="2" t="s">
        <v>689</v>
      </c>
      <c r="E1105" s="3" t="s">
        <v>1949</v>
      </c>
      <c r="F1105" s="2" t="s">
        <v>96</v>
      </c>
      <c r="G1105" s="2" t="s">
        <v>690</v>
      </c>
      <c r="H1105" s="3" t="s">
        <v>38</v>
      </c>
      <c r="I1105" s="5">
        <v>235784.02</v>
      </c>
      <c r="J1105" s="5">
        <v>188627.22</v>
      </c>
      <c r="K1105" s="3">
        <v>80</v>
      </c>
      <c r="L1105" s="21">
        <f t="shared" si="74"/>
        <v>94313.608000000007</v>
      </c>
      <c r="M1105" s="5"/>
      <c r="N1105" s="107">
        <f t="shared" si="71"/>
        <v>188627.22</v>
      </c>
      <c r="O1105" s="120">
        <f t="shared" si="72"/>
        <v>94313.608000000007</v>
      </c>
      <c r="P1105" s="92"/>
      <c r="Q1105" s="2" t="s">
        <v>3027</v>
      </c>
      <c r="R1105" s="61"/>
    </row>
    <row r="1106" spans="1:18" s="44" customFormat="1" ht="32.25" customHeight="1" outlineLevel="2" x14ac:dyDescent="0.25">
      <c r="A1106" s="3" t="s">
        <v>35</v>
      </c>
      <c r="B1106" s="2" t="s">
        <v>694</v>
      </c>
      <c r="C1106" s="12" t="s">
        <v>42</v>
      </c>
      <c r="D1106" s="2" t="s">
        <v>705</v>
      </c>
      <c r="E1106" s="3" t="s">
        <v>1949</v>
      </c>
      <c r="F1106" s="2" t="s">
        <v>96</v>
      </c>
      <c r="G1106" s="2" t="s">
        <v>701</v>
      </c>
      <c r="H1106" s="3" t="s">
        <v>38</v>
      </c>
      <c r="I1106" s="5">
        <v>2861498.4</v>
      </c>
      <c r="J1106" s="5">
        <v>2289198.7200000002</v>
      </c>
      <c r="K1106" s="3">
        <v>80</v>
      </c>
      <c r="L1106" s="21">
        <f t="shared" si="74"/>
        <v>1144599.3600000001</v>
      </c>
      <c r="M1106" s="5"/>
      <c r="N1106" s="107">
        <f t="shared" si="71"/>
        <v>2289198.7200000002</v>
      </c>
      <c r="O1106" s="120">
        <f t="shared" si="72"/>
        <v>1144599.3600000001</v>
      </c>
      <c r="P1106" s="92">
        <v>45569</v>
      </c>
      <c r="Q1106" s="2" t="s">
        <v>3028</v>
      </c>
      <c r="R1106" s="61"/>
    </row>
    <row r="1107" spans="1:18" s="44" customFormat="1" ht="32.25" customHeight="1" outlineLevel="2" x14ac:dyDescent="0.25">
      <c r="A1107" s="3" t="s">
        <v>35</v>
      </c>
      <c r="B1107" s="2" t="s">
        <v>726</v>
      </c>
      <c r="C1107" s="12" t="s">
        <v>42</v>
      </c>
      <c r="D1107" s="2" t="s">
        <v>735</v>
      </c>
      <c r="E1107" s="3" t="s">
        <v>1949</v>
      </c>
      <c r="F1107" s="2" t="s">
        <v>96</v>
      </c>
      <c r="G1107" s="2" t="s">
        <v>736</v>
      </c>
      <c r="H1107" s="3" t="s">
        <v>38</v>
      </c>
      <c r="I1107" s="5">
        <v>3568017.17</v>
      </c>
      <c r="J1107" s="5">
        <v>2854413.74</v>
      </c>
      <c r="K1107" s="3">
        <v>80</v>
      </c>
      <c r="L1107" s="21">
        <f t="shared" si="74"/>
        <v>1427206.868</v>
      </c>
      <c r="M1107" s="5"/>
      <c r="N1107" s="107">
        <f t="shared" si="71"/>
        <v>2854413.74</v>
      </c>
      <c r="O1107" s="120">
        <f t="shared" si="72"/>
        <v>1427206.868</v>
      </c>
      <c r="P1107" s="92" t="s">
        <v>1983</v>
      </c>
      <c r="Q1107" s="2" t="s">
        <v>2433</v>
      </c>
      <c r="R1107" s="61"/>
    </row>
    <row r="1108" spans="1:18" s="44" customFormat="1" ht="54.75" customHeight="1" outlineLevel="2" x14ac:dyDescent="0.25">
      <c r="A1108" s="3" t="s">
        <v>35</v>
      </c>
      <c r="B1108" s="2" t="s">
        <v>742</v>
      </c>
      <c r="C1108" s="12" t="s">
        <v>42</v>
      </c>
      <c r="D1108" s="2" t="s">
        <v>180</v>
      </c>
      <c r="E1108" s="3" t="s">
        <v>1949</v>
      </c>
      <c r="F1108" s="2" t="s">
        <v>96</v>
      </c>
      <c r="G1108" s="2" t="s">
        <v>747</v>
      </c>
      <c r="H1108" s="3" t="s">
        <v>38</v>
      </c>
      <c r="I1108" s="5">
        <v>3223</v>
      </c>
      <c r="J1108" s="5">
        <v>2578.4</v>
      </c>
      <c r="K1108" s="3">
        <v>80</v>
      </c>
      <c r="L1108" s="21">
        <f t="shared" si="74"/>
        <v>1289.2</v>
      </c>
      <c r="M1108" s="5"/>
      <c r="N1108" s="107">
        <f t="shared" si="71"/>
        <v>2578.4</v>
      </c>
      <c r="O1108" s="120">
        <f t="shared" si="72"/>
        <v>1289.2</v>
      </c>
      <c r="P1108" s="130">
        <v>45576</v>
      </c>
      <c r="Q1108" s="2" t="s">
        <v>2434</v>
      </c>
      <c r="R1108" s="61"/>
    </row>
    <row r="1109" spans="1:18" s="53" customFormat="1" ht="42.75" customHeight="1" outlineLevel="2" x14ac:dyDescent="0.25">
      <c r="A1109" s="3" t="s">
        <v>35</v>
      </c>
      <c r="B1109" s="2" t="s">
        <v>777</v>
      </c>
      <c r="C1109" s="12" t="s">
        <v>42</v>
      </c>
      <c r="D1109" s="2" t="s">
        <v>788</v>
      </c>
      <c r="E1109" s="3" t="s">
        <v>1949</v>
      </c>
      <c r="F1109" s="2" t="s">
        <v>96</v>
      </c>
      <c r="G1109" s="2" t="s">
        <v>785</v>
      </c>
      <c r="H1109" s="3" t="s">
        <v>38</v>
      </c>
      <c r="I1109" s="5">
        <v>95213802.5</v>
      </c>
      <c r="J1109" s="5">
        <v>76171042</v>
      </c>
      <c r="K1109" s="3">
        <v>80</v>
      </c>
      <c r="L1109" s="21">
        <f t="shared" si="74"/>
        <v>38085521</v>
      </c>
      <c r="M1109" s="5"/>
      <c r="N1109" s="107">
        <f t="shared" si="71"/>
        <v>76171042</v>
      </c>
      <c r="O1109" s="120">
        <f t="shared" si="72"/>
        <v>38085521</v>
      </c>
      <c r="P1109" s="92"/>
      <c r="Q1109" s="2" t="s">
        <v>2759</v>
      </c>
      <c r="R1109" s="144"/>
    </row>
    <row r="1110" spans="1:18" s="44" customFormat="1" ht="42.75" customHeight="1" outlineLevel="2" x14ac:dyDescent="0.25">
      <c r="A1110" s="3" t="s">
        <v>35</v>
      </c>
      <c r="B1110" s="2" t="s">
        <v>777</v>
      </c>
      <c r="C1110" s="12" t="s">
        <v>42</v>
      </c>
      <c r="D1110" s="2" t="s">
        <v>789</v>
      </c>
      <c r="E1110" s="3" t="s">
        <v>1949</v>
      </c>
      <c r="F1110" s="2" t="s">
        <v>96</v>
      </c>
      <c r="G1110" s="2" t="s">
        <v>99</v>
      </c>
      <c r="H1110" s="3" t="s">
        <v>38</v>
      </c>
      <c r="I1110" s="5">
        <v>5641448.8200000003</v>
      </c>
      <c r="J1110" s="5">
        <v>4513159.0599999996</v>
      </c>
      <c r="K1110" s="3">
        <v>80</v>
      </c>
      <c r="L1110" s="21">
        <f t="shared" si="74"/>
        <v>2256579.5280000004</v>
      </c>
      <c r="M1110" s="5"/>
      <c r="N1110" s="107">
        <f t="shared" si="71"/>
        <v>4513159.0599999996</v>
      </c>
      <c r="O1110" s="120">
        <f t="shared" si="72"/>
        <v>2256579.5280000004</v>
      </c>
      <c r="P1110" s="92"/>
      <c r="Q1110" s="2" t="s">
        <v>2759</v>
      </c>
      <c r="R1110" s="61"/>
    </row>
    <row r="1111" spans="1:18" s="53" customFormat="1" ht="32.25" customHeight="1" outlineLevel="2" x14ac:dyDescent="0.25">
      <c r="A1111" s="3" t="s">
        <v>35</v>
      </c>
      <c r="B1111" s="2" t="s">
        <v>777</v>
      </c>
      <c r="C1111" s="12" t="s">
        <v>42</v>
      </c>
      <c r="D1111" s="2" t="s">
        <v>790</v>
      </c>
      <c r="E1111" s="3" t="s">
        <v>1949</v>
      </c>
      <c r="F1111" s="2" t="s">
        <v>96</v>
      </c>
      <c r="G1111" s="2" t="s">
        <v>783</v>
      </c>
      <c r="H1111" s="3" t="s">
        <v>38</v>
      </c>
      <c r="I1111" s="5">
        <v>36808107.299999997</v>
      </c>
      <c r="J1111" s="5">
        <v>29446485.84</v>
      </c>
      <c r="K1111" s="3">
        <v>80</v>
      </c>
      <c r="L1111" s="21">
        <f t="shared" si="74"/>
        <v>14723242.92</v>
      </c>
      <c r="M1111" s="5"/>
      <c r="N1111" s="107">
        <f t="shared" si="71"/>
        <v>29446485.84</v>
      </c>
      <c r="O1111" s="120">
        <f t="shared" si="72"/>
        <v>14723242.92</v>
      </c>
      <c r="P1111" s="92"/>
      <c r="Q1111" s="2" t="s">
        <v>2759</v>
      </c>
      <c r="R1111" s="144"/>
    </row>
    <row r="1112" spans="1:18" s="44" customFormat="1" ht="52.5" customHeight="1" outlineLevel="2" x14ac:dyDescent="0.25">
      <c r="A1112" s="3" t="s">
        <v>35</v>
      </c>
      <c r="B1112" s="2" t="s">
        <v>818</v>
      </c>
      <c r="C1112" s="12" t="s">
        <v>42</v>
      </c>
      <c r="D1112" s="2" t="s">
        <v>828</v>
      </c>
      <c r="E1112" s="3" t="s">
        <v>1949</v>
      </c>
      <c r="F1112" s="2" t="s">
        <v>96</v>
      </c>
      <c r="G1112" s="2" t="s">
        <v>821</v>
      </c>
      <c r="H1112" s="3" t="s">
        <v>38</v>
      </c>
      <c r="I1112" s="5">
        <v>5260326.26</v>
      </c>
      <c r="J1112" s="5">
        <v>4208261.01</v>
      </c>
      <c r="K1112" s="3">
        <v>80</v>
      </c>
      <c r="L1112" s="21">
        <f t="shared" si="74"/>
        <v>2104130.5040000002</v>
      </c>
      <c r="M1112" s="5"/>
      <c r="N1112" s="107">
        <f t="shared" si="71"/>
        <v>4208261.01</v>
      </c>
      <c r="O1112" s="120">
        <f t="shared" si="72"/>
        <v>2104130.5040000002</v>
      </c>
      <c r="P1112" s="92"/>
      <c r="Q1112" s="2" t="s">
        <v>3029</v>
      </c>
      <c r="R1112" s="61"/>
    </row>
    <row r="1113" spans="1:18" s="44" customFormat="1" ht="32.25" customHeight="1" outlineLevel="2" x14ac:dyDescent="0.25">
      <c r="A1113" s="3" t="s">
        <v>35</v>
      </c>
      <c r="B1113" s="2" t="s">
        <v>829</v>
      </c>
      <c r="C1113" s="12" t="s">
        <v>42</v>
      </c>
      <c r="D1113" s="2" t="s">
        <v>832</v>
      </c>
      <c r="E1113" s="3" t="s">
        <v>1949</v>
      </c>
      <c r="F1113" s="2" t="s">
        <v>96</v>
      </c>
      <c r="G1113" s="2" t="s">
        <v>833</v>
      </c>
      <c r="H1113" s="3" t="s">
        <v>38</v>
      </c>
      <c r="I1113" s="5">
        <v>1465832.64</v>
      </c>
      <c r="J1113" s="5">
        <v>1172666.1100000001</v>
      </c>
      <c r="K1113" s="3">
        <v>80</v>
      </c>
      <c r="L1113" s="21">
        <f t="shared" si="74"/>
        <v>586333.05599999998</v>
      </c>
      <c r="M1113" s="5"/>
      <c r="N1113" s="107">
        <f t="shared" si="71"/>
        <v>1172666.1100000001</v>
      </c>
      <c r="O1113" s="120">
        <f t="shared" si="72"/>
        <v>586333.05599999998</v>
      </c>
      <c r="P1113" s="92"/>
      <c r="Q1113" s="2" t="s">
        <v>3030</v>
      </c>
      <c r="R1113" s="61"/>
    </row>
    <row r="1114" spans="1:18" s="53" customFormat="1" ht="32.25" customHeight="1" outlineLevel="2" x14ac:dyDescent="0.25">
      <c r="A1114" s="3" t="s">
        <v>35</v>
      </c>
      <c r="B1114" s="2" t="s">
        <v>844</v>
      </c>
      <c r="C1114" s="12" t="s">
        <v>42</v>
      </c>
      <c r="D1114" s="2" t="s">
        <v>858</v>
      </c>
      <c r="E1114" s="3" t="s">
        <v>1949</v>
      </c>
      <c r="F1114" s="2" t="s">
        <v>96</v>
      </c>
      <c r="G1114" s="2" t="s">
        <v>859</v>
      </c>
      <c r="H1114" s="3" t="s">
        <v>38</v>
      </c>
      <c r="I1114" s="5">
        <v>75391510.200000003</v>
      </c>
      <c r="J1114" s="5">
        <v>60313208.159999996</v>
      </c>
      <c r="K1114" s="3">
        <v>80</v>
      </c>
      <c r="L1114" s="21">
        <f t="shared" si="74"/>
        <v>30156604.080000002</v>
      </c>
      <c r="M1114" s="5"/>
      <c r="N1114" s="107">
        <f t="shared" si="71"/>
        <v>60313208.159999996</v>
      </c>
      <c r="O1114" s="120">
        <f t="shared" si="72"/>
        <v>30156604.080000002</v>
      </c>
      <c r="P1114" s="92" t="s">
        <v>1983</v>
      </c>
      <c r="Q1114" s="2" t="s">
        <v>3031</v>
      </c>
      <c r="R1114" s="144"/>
    </row>
    <row r="1115" spans="1:18" s="53" customFormat="1" ht="61.5" customHeight="1" outlineLevel="2" x14ac:dyDescent="0.25">
      <c r="A1115" s="3" t="s">
        <v>35</v>
      </c>
      <c r="B1115" s="2" t="s">
        <v>883</v>
      </c>
      <c r="C1115" s="12" t="s">
        <v>42</v>
      </c>
      <c r="D1115" s="2" t="s">
        <v>886</v>
      </c>
      <c r="E1115" s="3" t="s">
        <v>1949</v>
      </c>
      <c r="F1115" s="2" t="s">
        <v>96</v>
      </c>
      <c r="G1115" s="2" t="s">
        <v>887</v>
      </c>
      <c r="H1115" s="3" t="s">
        <v>38</v>
      </c>
      <c r="I1115" s="5">
        <v>282772452</v>
      </c>
      <c r="J1115" s="5">
        <v>226217961.59999999</v>
      </c>
      <c r="K1115" s="3">
        <v>80</v>
      </c>
      <c r="L1115" s="21">
        <f t="shared" si="74"/>
        <v>113108980.80000001</v>
      </c>
      <c r="M1115" s="5"/>
      <c r="N1115" s="107">
        <f t="shared" si="71"/>
        <v>226217961.59999999</v>
      </c>
      <c r="O1115" s="120">
        <f t="shared" si="72"/>
        <v>113108980.80000001</v>
      </c>
      <c r="P1115" s="92" t="s">
        <v>2044</v>
      </c>
      <c r="Q1115" s="2" t="s">
        <v>2435</v>
      </c>
      <c r="R1115" s="144"/>
    </row>
    <row r="1116" spans="1:18" s="44" customFormat="1" ht="61.5" customHeight="1" outlineLevel="2" x14ac:dyDescent="0.25">
      <c r="A1116" s="3" t="s">
        <v>35</v>
      </c>
      <c r="B1116" s="2" t="s">
        <v>905</v>
      </c>
      <c r="C1116" s="12" t="s">
        <v>42</v>
      </c>
      <c r="D1116" s="2" t="s">
        <v>921</v>
      </c>
      <c r="E1116" s="3" t="s">
        <v>1949</v>
      </c>
      <c r="F1116" s="2" t="s">
        <v>96</v>
      </c>
      <c r="G1116" s="2" t="s">
        <v>117</v>
      </c>
      <c r="H1116" s="3" t="s">
        <v>38</v>
      </c>
      <c r="I1116" s="5">
        <v>492342</v>
      </c>
      <c r="J1116" s="5">
        <v>393873.6</v>
      </c>
      <c r="K1116" s="3">
        <v>80</v>
      </c>
      <c r="L1116" s="21">
        <f t="shared" si="74"/>
        <v>196936.80000000002</v>
      </c>
      <c r="M1116" s="5"/>
      <c r="N1116" s="107">
        <f t="shared" si="71"/>
        <v>393873.6</v>
      </c>
      <c r="O1116" s="120">
        <f t="shared" si="72"/>
        <v>196936.80000000002</v>
      </c>
      <c r="P1116" s="92" t="s">
        <v>1983</v>
      </c>
      <c r="Q1116" s="2" t="s">
        <v>2436</v>
      </c>
      <c r="R1116" s="61"/>
    </row>
    <row r="1117" spans="1:18" s="44" customFormat="1" ht="61.5" customHeight="1" outlineLevel="2" x14ac:dyDescent="0.25">
      <c r="A1117" s="3" t="s">
        <v>35</v>
      </c>
      <c r="B1117" s="2" t="s">
        <v>924</v>
      </c>
      <c r="C1117" s="12" t="s">
        <v>42</v>
      </c>
      <c r="D1117" s="2" t="s">
        <v>935</v>
      </c>
      <c r="E1117" s="3" t="s">
        <v>1949</v>
      </c>
      <c r="F1117" s="2" t="s">
        <v>96</v>
      </c>
      <c r="G1117" s="2" t="s">
        <v>925</v>
      </c>
      <c r="H1117" s="3" t="s">
        <v>38</v>
      </c>
      <c r="I1117" s="5">
        <v>74044.37</v>
      </c>
      <c r="J1117" s="5">
        <v>59235.49</v>
      </c>
      <c r="K1117" s="3">
        <v>80</v>
      </c>
      <c r="L1117" s="21">
        <f t="shared" si="74"/>
        <v>29617.748</v>
      </c>
      <c r="M1117" s="5"/>
      <c r="N1117" s="107">
        <f t="shared" si="71"/>
        <v>59235.49</v>
      </c>
      <c r="O1117" s="120">
        <f t="shared" si="72"/>
        <v>29617.748</v>
      </c>
      <c r="P1117" s="130">
        <v>45569</v>
      </c>
      <c r="Q1117" s="2" t="s">
        <v>2437</v>
      </c>
      <c r="R1117" s="61"/>
    </row>
    <row r="1118" spans="1:18" s="44" customFormat="1" ht="61.5" customHeight="1" outlineLevel="2" x14ac:dyDescent="0.25">
      <c r="A1118" s="3" t="s">
        <v>35</v>
      </c>
      <c r="B1118" s="2" t="s">
        <v>936</v>
      </c>
      <c r="C1118" s="12" t="s">
        <v>42</v>
      </c>
      <c r="D1118" s="2" t="s">
        <v>945</v>
      </c>
      <c r="E1118" s="3" t="s">
        <v>1949</v>
      </c>
      <c r="F1118" s="2" t="s">
        <v>96</v>
      </c>
      <c r="G1118" s="2" t="s">
        <v>937</v>
      </c>
      <c r="H1118" s="3" t="s">
        <v>38</v>
      </c>
      <c r="I1118" s="5">
        <v>1359288</v>
      </c>
      <c r="J1118" s="5">
        <v>1087430.3999999999</v>
      </c>
      <c r="K1118" s="3">
        <v>80</v>
      </c>
      <c r="L1118" s="21">
        <f t="shared" si="74"/>
        <v>543715.20000000007</v>
      </c>
      <c r="M1118" s="5"/>
      <c r="N1118" s="107">
        <f t="shared" si="71"/>
        <v>1087430.3999999999</v>
      </c>
      <c r="O1118" s="120">
        <f t="shared" si="72"/>
        <v>543715.20000000007</v>
      </c>
      <c r="P1118" s="92" t="s">
        <v>2438</v>
      </c>
      <c r="Q1118" s="2" t="s">
        <v>2439</v>
      </c>
      <c r="R1118" s="61"/>
    </row>
    <row r="1119" spans="1:18" s="44" customFormat="1" ht="32.25" customHeight="1" outlineLevel="2" x14ac:dyDescent="0.25">
      <c r="A1119" s="3" t="s">
        <v>35</v>
      </c>
      <c r="B1119" s="2" t="s">
        <v>947</v>
      </c>
      <c r="C1119" s="12" t="s">
        <v>42</v>
      </c>
      <c r="D1119" s="2" t="s">
        <v>953</v>
      </c>
      <c r="E1119" s="3" t="s">
        <v>1949</v>
      </c>
      <c r="F1119" s="2" t="s">
        <v>96</v>
      </c>
      <c r="G1119" s="2" t="s">
        <v>948</v>
      </c>
      <c r="H1119" s="3" t="s">
        <v>38</v>
      </c>
      <c r="I1119" s="5">
        <v>1216703.3799999999</v>
      </c>
      <c r="J1119" s="5">
        <v>973362.7</v>
      </c>
      <c r="K1119" s="3">
        <v>80</v>
      </c>
      <c r="L1119" s="21">
        <f t="shared" si="74"/>
        <v>486681.35199999996</v>
      </c>
      <c r="M1119" s="5"/>
      <c r="N1119" s="107">
        <f t="shared" si="71"/>
        <v>973362.7</v>
      </c>
      <c r="O1119" s="120">
        <f t="shared" si="72"/>
        <v>486681.35199999996</v>
      </c>
      <c r="P1119" s="92"/>
      <c r="Q1119" s="2" t="s">
        <v>2760</v>
      </c>
      <c r="R1119" s="61"/>
    </row>
    <row r="1120" spans="1:18" s="44" customFormat="1" ht="32.25" customHeight="1" outlineLevel="2" x14ac:dyDescent="0.25">
      <c r="A1120" s="3" t="s">
        <v>35</v>
      </c>
      <c r="B1120" s="2" t="s">
        <v>955</v>
      </c>
      <c r="C1120" s="12" t="s">
        <v>42</v>
      </c>
      <c r="D1120" s="2" t="s">
        <v>965</v>
      </c>
      <c r="E1120" s="3" t="s">
        <v>1949</v>
      </c>
      <c r="F1120" s="2" t="s">
        <v>96</v>
      </c>
      <c r="G1120" s="2" t="s">
        <v>956</v>
      </c>
      <c r="H1120" s="3" t="s">
        <v>38</v>
      </c>
      <c r="I1120" s="5">
        <v>2871058.43</v>
      </c>
      <c r="J1120" s="5">
        <v>2296846.7400000002</v>
      </c>
      <c r="K1120" s="3">
        <v>80</v>
      </c>
      <c r="L1120" s="21">
        <f t="shared" si="74"/>
        <v>1148423.3720000002</v>
      </c>
      <c r="M1120" s="5"/>
      <c r="N1120" s="107">
        <f t="shared" si="71"/>
        <v>2296846.7400000002</v>
      </c>
      <c r="O1120" s="120">
        <f t="shared" si="72"/>
        <v>1148423.3720000002</v>
      </c>
      <c r="P1120" s="92" t="s">
        <v>1983</v>
      </c>
      <c r="Q1120" s="2" t="s">
        <v>3032</v>
      </c>
      <c r="R1120" s="61"/>
    </row>
    <row r="1121" spans="1:18" s="44" customFormat="1" ht="32.25" customHeight="1" outlineLevel="2" x14ac:dyDescent="0.25">
      <c r="A1121" s="3" t="s">
        <v>35</v>
      </c>
      <c r="B1121" s="2" t="s">
        <v>976</v>
      </c>
      <c r="C1121" s="12" t="s">
        <v>42</v>
      </c>
      <c r="D1121" s="2" t="s">
        <v>980</v>
      </c>
      <c r="E1121" s="3" t="s">
        <v>1949</v>
      </c>
      <c r="F1121" s="2" t="s">
        <v>96</v>
      </c>
      <c r="G1121" s="2" t="s">
        <v>977</v>
      </c>
      <c r="H1121" s="3" t="s">
        <v>38</v>
      </c>
      <c r="I1121" s="5">
        <v>813750</v>
      </c>
      <c r="J1121" s="5">
        <v>250077.74</v>
      </c>
      <c r="K1121" s="3">
        <v>31</v>
      </c>
      <c r="L1121" s="21">
        <f t="shared" si="74"/>
        <v>325500</v>
      </c>
      <c r="M1121" s="5"/>
      <c r="N1121" s="107">
        <f t="shared" si="71"/>
        <v>250077.74</v>
      </c>
      <c r="O1121" s="120">
        <f t="shared" si="72"/>
        <v>325500</v>
      </c>
      <c r="P1121" s="92" t="s">
        <v>1991</v>
      </c>
      <c r="Q1121" s="2" t="s">
        <v>2440</v>
      </c>
      <c r="R1121" s="61"/>
    </row>
    <row r="1122" spans="1:18" s="53" customFormat="1" ht="46.5" customHeight="1" outlineLevel="2" x14ac:dyDescent="0.25">
      <c r="A1122" s="3" t="s">
        <v>35</v>
      </c>
      <c r="B1122" s="2" t="s">
        <v>983</v>
      </c>
      <c r="C1122" s="12" t="s">
        <v>42</v>
      </c>
      <c r="D1122" s="2" t="s">
        <v>989</v>
      </c>
      <c r="E1122" s="3" t="s">
        <v>1949</v>
      </c>
      <c r="F1122" s="2" t="s">
        <v>96</v>
      </c>
      <c r="G1122" s="2" t="s">
        <v>986</v>
      </c>
      <c r="H1122" s="3" t="s">
        <v>38</v>
      </c>
      <c r="I1122" s="5">
        <v>1197502999</v>
      </c>
      <c r="J1122" s="5">
        <v>958002399.20000005</v>
      </c>
      <c r="K1122" s="3">
        <v>80</v>
      </c>
      <c r="L1122" s="21">
        <f t="shared" si="74"/>
        <v>479001199.60000002</v>
      </c>
      <c r="M1122" s="5"/>
      <c r="N1122" s="107">
        <f t="shared" si="71"/>
        <v>958002399.20000005</v>
      </c>
      <c r="O1122" s="120">
        <f t="shared" si="72"/>
        <v>479001199.60000002</v>
      </c>
      <c r="P1122" s="92"/>
      <c r="Q1122" s="2" t="s">
        <v>3033</v>
      </c>
      <c r="R1122" s="144"/>
    </row>
    <row r="1123" spans="1:18" s="44" customFormat="1" ht="46.5" customHeight="1" outlineLevel="2" x14ac:dyDescent="0.25">
      <c r="A1123" s="3" t="s">
        <v>35</v>
      </c>
      <c r="B1123" s="2" t="s">
        <v>990</v>
      </c>
      <c r="C1123" s="12" t="s">
        <v>42</v>
      </c>
      <c r="D1123" s="2" t="s">
        <v>997</v>
      </c>
      <c r="E1123" s="3" t="s">
        <v>1949</v>
      </c>
      <c r="F1123" s="2" t="s">
        <v>96</v>
      </c>
      <c r="G1123" s="2" t="s">
        <v>998</v>
      </c>
      <c r="H1123" s="3" t="s">
        <v>38</v>
      </c>
      <c r="I1123" s="5">
        <v>553256.63</v>
      </c>
      <c r="J1123" s="5">
        <v>442605.3</v>
      </c>
      <c r="K1123" s="3">
        <v>80</v>
      </c>
      <c r="L1123" s="21">
        <f t="shared" si="74"/>
        <v>221302.652</v>
      </c>
      <c r="M1123" s="5"/>
      <c r="N1123" s="107">
        <f t="shared" si="71"/>
        <v>442605.3</v>
      </c>
      <c r="O1123" s="120">
        <f t="shared" si="72"/>
        <v>221302.652</v>
      </c>
      <c r="P1123" s="130">
        <v>45569</v>
      </c>
      <c r="Q1123" s="2" t="s">
        <v>3034</v>
      </c>
      <c r="R1123" s="61"/>
    </row>
    <row r="1124" spans="1:18" s="44" customFormat="1" ht="32.25" customHeight="1" outlineLevel="2" x14ac:dyDescent="0.25">
      <c r="A1124" s="3" t="s">
        <v>35</v>
      </c>
      <c r="B1124" s="2" t="s">
        <v>1006</v>
      </c>
      <c r="C1124" s="12" t="s">
        <v>42</v>
      </c>
      <c r="D1124" s="2" t="s">
        <v>1009</v>
      </c>
      <c r="E1124" s="3" t="s">
        <v>1949</v>
      </c>
      <c r="F1124" s="2" t="s">
        <v>96</v>
      </c>
      <c r="G1124" s="2" t="s">
        <v>1007</v>
      </c>
      <c r="H1124" s="3" t="s">
        <v>38</v>
      </c>
      <c r="I1124" s="5">
        <v>82063.199999999997</v>
      </c>
      <c r="J1124" s="5">
        <f>I1124</f>
        <v>82063.199999999997</v>
      </c>
      <c r="K1124" s="3">
        <v>80</v>
      </c>
      <c r="L1124" s="21">
        <f t="shared" si="74"/>
        <v>32825.279999999999</v>
      </c>
      <c r="M1124" s="5"/>
      <c r="N1124" s="107">
        <f t="shared" si="71"/>
        <v>82063.199999999997</v>
      </c>
      <c r="O1124" s="120">
        <f t="shared" si="72"/>
        <v>32825.279999999999</v>
      </c>
      <c r="P1124" s="130">
        <v>45548</v>
      </c>
      <c r="Q1124" s="2" t="s">
        <v>2441</v>
      </c>
      <c r="R1124" s="61"/>
    </row>
    <row r="1125" spans="1:18" s="44" customFormat="1" ht="32.25" customHeight="1" outlineLevel="2" x14ac:dyDescent="0.25">
      <c r="A1125" s="3" t="s">
        <v>35</v>
      </c>
      <c r="B1125" s="2" t="s">
        <v>1021</v>
      </c>
      <c r="C1125" s="12" t="s">
        <v>42</v>
      </c>
      <c r="D1125" s="2" t="s">
        <v>1029</v>
      </c>
      <c r="E1125" s="3" t="s">
        <v>1949</v>
      </c>
      <c r="F1125" s="2" t="s">
        <v>96</v>
      </c>
      <c r="G1125" s="2" t="s">
        <v>692</v>
      </c>
      <c r="H1125" s="3" t="s">
        <v>38</v>
      </c>
      <c r="I1125" s="5">
        <v>754535.78</v>
      </c>
      <c r="J1125" s="5">
        <v>603628.62</v>
      </c>
      <c r="K1125" s="3">
        <v>80</v>
      </c>
      <c r="L1125" s="21">
        <f t="shared" si="74"/>
        <v>301814.31200000003</v>
      </c>
      <c r="M1125" s="5"/>
      <c r="N1125" s="107">
        <f t="shared" si="71"/>
        <v>603628.62</v>
      </c>
      <c r="O1125" s="120">
        <f t="shared" si="72"/>
        <v>301814.31200000003</v>
      </c>
      <c r="P1125" s="92"/>
      <c r="Q1125" s="2" t="s">
        <v>3035</v>
      </c>
      <c r="R1125" s="61"/>
    </row>
    <row r="1126" spans="1:18" s="44" customFormat="1" ht="32.25" customHeight="1" outlineLevel="2" x14ac:dyDescent="0.25">
      <c r="A1126" s="3" t="s">
        <v>35</v>
      </c>
      <c r="B1126" s="2" t="s">
        <v>1049</v>
      </c>
      <c r="C1126" s="12" t="s">
        <v>42</v>
      </c>
      <c r="D1126" s="2" t="s">
        <v>1054</v>
      </c>
      <c r="E1126" s="3" t="s">
        <v>1949</v>
      </c>
      <c r="F1126" s="2" t="s">
        <v>96</v>
      </c>
      <c r="G1126" s="2" t="s">
        <v>1051</v>
      </c>
      <c r="H1126" s="3" t="s">
        <v>38</v>
      </c>
      <c r="I1126" s="5">
        <v>173140.7</v>
      </c>
      <c r="J1126" s="5">
        <v>138512.56</v>
      </c>
      <c r="K1126" s="3">
        <v>80</v>
      </c>
      <c r="L1126" s="21">
        <f t="shared" si="74"/>
        <v>69256.280000000013</v>
      </c>
      <c r="M1126" s="5"/>
      <c r="N1126" s="107">
        <f t="shared" ref="N1126:N1157" si="75">J1126-M1126</f>
        <v>138512.56</v>
      </c>
      <c r="O1126" s="120">
        <f t="shared" ref="O1126:O1158" si="76">L1126-M1126</f>
        <v>69256.280000000013</v>
      </c>
      <c r="P1126" s="130">
        <v>45611</v>
      </c>
      <c r="Q1126" s="2" t="s">
        <v>2171</v>
      </c>
      <c r="R1126" s="61"/>
    </row>
    <row r="1127" spans="1:18" s="53" customFormat="1" ht="64.5" customHeight="1" outlineLevel="2" x14ac:dyDescent="0.25">
      <c r="A1127" s="3" t="s">
        <v>35</v>
      </c>
      <c r="B1127" s="2" t="s">
        <v>1068</v>
      </c>
      <c r="C1127" s="12" t="s">
        <v>42</v>
      </c>
      <c r="D1127" s="2" t="s">
        <v>1079</v>
      </c>
      <c r="E1127" s="3" t="s">
        <v>1949</v>
      </c>
      <c r="F1127" s="2" t="s">
        <v>96</v>
      </c>
      <c r="G1127" s="2" t="s">
        <v>1080</v>
      </c>
      <c r="H1127" s="3" t="s">
        <v>38</v>
      </c>
      <c r="I1127" s="5">
        <v>640501636.97000003</v>
      </c>
      <c r="J1127" s="5">
        <v>512401309.57999998</v>
      </c>
      <c r="K1127" s="3">
        <v>80</v>
      </c>
      <c r="L1127" s="21">
        <f t="shared" si="74"/>
        <v>256200654.78800002</v>
      </c>
      <c r="M1127" s="5"/>
      <c r="N1127" s="107">
        <f t="shared" si="75"/>
        <v>512401309.57999998</v>
      </c>
      <c r="O1127" s="120">
        <f t="shared" si="76"/>
        <v>256200654.78800002</v>
      </c>
      <c r="P1127" s="92"/>
      <c r="Q1127" s="2" t="s">
        <v>3036</v>
      </c>
      <c r="R1127" s="144"/>
    </row>
    <row r="1128" spans="1:18" s="44" customFormat="1" ht="32.25" customHeight="1" outlineLevel="2" x14ac:dyDescent="0.25">
      <c r="A1128" s="3" t="s">
        <v>35</v>
      </c>
      <c r="B1128" s="2" t="s">
        <v>1141</v>
      </c>
      <c r="C1128" s="12" t="s">
        <v>42</v>
      </c>
      <c r="D1128" s="2" t="s">
        <v>1152</v>
      </c>
      <c r="E1128" s="3" t="s">
        <v>1949</v>
      </c>
      <c r="F1128" s="2" t="s">
        <v>96</v>
      </c>
      <c r="G1128" s="2" t="s">
        <v>1143</v>
      </c>
      <c r="H1128" s="3" t="s">
        <v>38</v>
      </c>
      <c r="I1128" s="5">
        <v>16458399.35</v>
      </c>
      <c r="J1128" s="5">
        <v>13166719.48</v>
      </c>
      <c r="K1128" s="3">
        <v>80</v>
      </c>
      <c r="L1128" s="21">
        <f t="shared" si="74"/>
        <v>6583359.7400000002</v>
      </c>
      <c r="M1128" s="5"/>
      <c r="N1128" s="107">
        <f t="shared" si="75"/>
        <v>13166719.48</v>
      </c>
      <c r="O1128" s="120">
        <f t="shared" si="76"/>
        <v>6583359.7400000002</v>
      </c>
      <c r="P1128" s="92"/>
      <c r="Q1128" s="2" t="s">
        <v>3037</v>
      </c>
      <c r="R1128" s="61"/>
    </row>
    <row r="1129" spans="1:18" s="53" customFormat="1" ht="32.25" customHeight="1" outlineLevel="2" x14ac:dyDescent="0.25">
      <c r="A1129" s="3" t="s">
        <v>35</v>
      </c>
      <c r="B1129" s="2" t="s">
        <v>1191</v>
      </c>
      <c r="C1129" s="12" t="s">
        <v>42</v>
      </c>
      <c r="D1129" s="2" t="s">
        <v>1200</v>
      </c>
      <c r="E1129" s="3" t="s">
        <v>1949</v>
      </c>
      <c r="F1129" s="2" t="s">
        <v>96</v>
      </c>
      <c r="G1129" s="2" t="s">
        <v>1194</v>
      </c>
      <c r="H1129" s="3" t="s">
        <v>38</v>
      </c>
      <c r="I1129" s="5">
        <v>34656226.799999997</v>
      </c>
      <c r="J1129" s="5">
        <v>27724981.440000001</v>
      </c>
      <c r="K1129" s="3">
        <v>80</v>
      </c>
      <c r="L1129" s="21">
        <f t="shared" si="74"/>
        <v>13862490.719999999</v>
      </c>
      <c r="M1129" s="5"/>
      <c r="N1129" s="107">
        <f t="shared" si="75"/>
        <v>27724981.440000001</v>
      </c>
      <c r="O1129" s="120">
        <f t="shared" si="76"/>
        <v>13862490.719999999</v>
      </c>
      <c r="P1129" s="92"/>
      <c r="Q1129" s="2" t="s">
        <v>3038</v>
      </c>
      <c r="R1129" s="144"/>
    </row>
    <row r="1130" spans="1:18" s="44" customFormat="1" ht="48.75" customHeight="1" outlineLevel="2" x14ac:dyDescent="0.25">
      <c r="A1130" s="3" t="s">
        <v>35</v>
      </c>
      <c r="B1130" s="2" t="s">
        <v>1209</v>
      </c>
      <c r="C1130" s="12" t="s">
        <v>42</v>
      </c>
      <c r="D1130" s="2" t="s">
        <v>1214</v>
      </c>
      <c r="E1130" s="3" t="s">
        <v>1949</v>
      </c>
      <c r="F1130" s="2" t="s">
        <v>96</v>
      </c>
      <c r="G1130" s="2" t="s">
        <v>117</v>
      </c>
      <c r="H1130" s="3" t="s">
        <v>38</v>
      </c>
      <c r="I1130" s="5">
        <v>823541.59</v>
      </c>
      <c r="J1130" s="5">
        <v>823541.59</v>
      </c>
      <c r="K1130" s="3">
        <v>80</v>
      </c>
      <c r="L1130" s="5">
        <v>823541.59</v>
      </c>
      <c r="M1130" s="5"/>
      <c r="N1130" s="107">
        <f t="shared" si="75"/>
        <v>823541.59</v>
      </c>
      <c r="O1130" s="120">
        <f t="shared" si="76"/>
        <v>823541.59</v>
      </c>
      <c r="P1130" s="130">
        <v>45562</v>
      </c>
      <c r="Q1130" s="2" t="s">
        <v>3039</v>
      </c>
      <c r="R1130" s="61"/>
    </row>
    <row r="1131" spans="1:18" s="44" customFormat="1" ht="48.75" customHeight="1" outlineLevel="2" x14ac:dyDescent="0.25">
      <c r="A1131" s="3" t="s">
        <v>35</v>
      </c>
      <c r="B1131" s="2" t="s">
        <v>1219</v>
      </c>
      <c r="C1131" s="12" t="s">
        <v>42</v>
      </c>
      <c r="D1131" s="2" t="s">
        <v>1224</v>
      </c>
      <c r="E1131" s="3" t="s">
        <v>1949</v>
      </c>
      <c r="F1131" s="2" t="s">
        <v>96</v>
      </c>
      <c r="G1131" s="2" t="s">
        <v>1225</v>
      </c>
      <c r="H1131" s="3" t="s">
        <v>38</v>
      </c>
      <c r="I1131" s="5">
        <v>285479.87</v>
      </c>
      <c r="J1131" s="5">
        <v>228383.9</v>
      </c>
      <c r="K1131" s="3">
        <v>80</v>
      </c>
      <c r="L1131" s="21">
        <f t="shared" si="74"/>
        <v>114191.948</v>
      </c>
      <c r="M1131" s="5"/>
      <c r="N1131" s="107">
        <f t="shared" si="75"/>
        <v>228383.9</v>
      </c>
      <c r="O1131" s="120">
        <f t="shared" si="76"/>
        <v>114191.948</v>
      </c>
      <c r="P1131" s="92" t="s">
        <v>1983</v>
      </c>
      <c r="Q1131" s="2" t="s">
        <v>2436</v>
      </c>
      <c r="R1131" s="61"/>
    </row>
    <row r="1132" spans="1:18" s="44" customFormat="1" ht="68.25" customHeight="1" outlineLevel="2" x14ac:dyDescent="0.25">
      <c r="A1132" s="3" t="s">
        <v>35</v>
      </c>
      <c r="B1132" s="2" t="s">
        <v>1219</v>
      </c>
      <c r="C1132" s="12" t="s">
        <v>42</v>
      </c>
      <c r="D1132" s="2" t="s">
        <v>1226</v>
      </c>
      <c r="E1132" s="3" t="s">
        <v>1949</v>
      </c>
      <c r="F1132" s="2" t="s">
        <v>96</v>
      </c>
      <c r="G1132" s="2" t="s">
        <v>1220</v>
      </c>
      <c r="H1132" s="3" t="s">
        <v>38</v>
      </c>
      <c r="I1132" s="5">
        <v>6143.58</v>
      </c>
      <c r="J1132" s="5">
        <v>4914.8599999999997</v>
      </c>
      <c r="K1132" s="3">
        <v>80</v>
      </c>
      <c r="L1132" s="21">
        <f t="shared" si="74"/>
        <v>2457.4320000000002</v>
      </c>
      <c r="M1132" s="5"/>
      <c r="N1132" s="107">
        <f t="shared" si="75"/>
        <v>4914.8599999999997</v>
      </c>
      <c r="O1132" s="120">
        <f t="shared" si="76"/>
        <v>2457.4320000000002</v>
      </c>
      <c r="P1132" s="130">
        <v>45545</v>
      </c>
      <c r="Q1132" s="2" t="s">
        <v>3040</v>
      </c>
      <c r="R1132" s="61"/>
    </row>
    <row r="1133" spans="1:18" s="44" customFormat="1" ht="32.25" customHeight="1" outlineLevel="2" x14ac:dyDescent="0.25">
      <c r="A1133" s="3" t="s">
        <v>35</v>
      </c>
      <c r="B1133" s="2" t="s">
        <v>1232</v>
      </c>
      <c r="C1133" s="12" t="s">
        <v>42</v>
      </c>
      <c r="D1133" s="2" t="s">
        <v>1236</v>
      </c>
      <c r="E1133" s="3" t="s">
        <v>1949</v>
      </c>
      <c r="F1133" s="2" t="s">
        <v>96</v>
      </c>
      <c r="G1133" s="2" t="s">
        <v>1237</v>
      </c>
      <c r="H1133" s="3" t="s">
        <v>38</v>
      </c>
      <c r="I1133" s="5">
        <v>29462.400000000001</v>
      </c>
      <c r="J1133" s="5">
        <v>23569.919999999998</v>
      </c>
      <c r="K1133" s="3">
        <v>80</v>
      </c>
      <c r="L1133" s="21">
        <f t="shared" si="74"/>
        <v>11784.960000000001</v>
      </c>
      <c r="M1133" s="5"/>
      <c r="N1133" s="107">
        <f t="shared" si="75"/>
        <v>23569.919999999998</v>
      </c>
      <c r="O1133" s="120">
        <f t="shared" si="76"/>
        <v>11784.960000000001</v>
      </c>
      <c r="P1133" s="92"/>
      <c r="Q1133" s="2" t="s">
        <v>2204</v>
      </c>
      <c r="R1133" s="61"/>
    </row>
    <row r="1134" spans="1:18" s="44" customFormat="1" ht="50.25" customHeight="1" outlineLevel="2" x14ac:dyDescent="0.25">
      <c r="A1134" s="3" t="s">
        <v>35</v>
      </c>
      <c r="B1134" s="2" t="s">
        <v>1232</v>
      </c>
      <c r="C1134" s="12" t="s">
        <v>42</v>
      </c>
      <c r="D1134" s="2" t="s">
        <v>1238</v>
      </c>
      <c r="E1134" s="3" t="s">
        <v>1949</v>
      </c>
      <c r="F1134" s="2" t="s">
        <v>96</v>
      </c>
      <c r="G1134" s="2" t="s">
        <v>1239</v>
      </c>
      <c r="H1134" s="3" t="s">
        <v>38</v>
      </c>
      <c r="I1134" s="5">
        <v>3991123.64</v>
      </c>
      <c r="J1134" s="5">
        <v>3192898.91</v>
      </c>
      <c r="K1134" s="3">
        <v>80</v>
      </c>
      <c r="L1134" s="21">
        <f t="shared" si="74"/>
        <v>1596449.4560000002</v>
      </c>
      <c r="M1134" s="5"/>
      <c r="N1134" s="107">
        <f t="shared" si="75"/>
        <v>3192898.91</v>
      </c>
      <c r="O1134" s="120">
        <f t="shared" si="76"/>
        <v>1596449.4560000002</v>
      </c>
      <c r="P1134" s="92" t="s">
        <v>1983</v>
      </c>
      <c r="Q1134" s="2" t="s">
        <v>3041</v>
      </c>
      <c r="R1134" s="61"/>
    </row>
    <row r="1135" spans="1:18" s="44" customFormat="1" ht="50.25" customHeight="1" outlineLevel="2" x14ac:dyDescent="0.25">
      <c r="A1135" s="3" t="s">
        <v>35</v>
      </c>
      <c r="B1135" s="2" t="s">
        <v>1262</v>
      </c>
      <c r="C1135" s="12" t="s">
        <v>42</v>
      </c>
      <c r="D1135" s="2" t="s">
        <v>1269</v>
      </c>
      <c r="E1135" s="3" t="s">
        <v>1949</v>
      </c>
      <c r="F1135" s="2" t="s">
        <v>96</v>
      </c>
      <c r="G1135" s="2" t="s">
        <v>1270</v>
      </c>
      <c r="H1135" s="3" t="s">
        <v>38</v>
      </c>
      <c r="I1135" s="5">
        <v>2841745.2</v>
      </c>
      <c r="J1135" s="5">
        <v>2273396.16</v>
      </c>
      <c r="K1135" s="3">
        <v>80</v>
      </c>
      <c r="L1135" s="21">
        <f t="shared" si="74"/>
        <v>1136698.08</v>
      </c>
      <c r="M1135" s="5"/>
      <c r="N1135" s="107">
        <f t="shared" si="75"/>
        <v>2273396.16</v>
      </c>
      <c r="O1135" s="120">
        <f t="shared" si="76"/>
        <v>1136698.08</v>
      </c>
      <c r="P1135" s="92" t="s">
        <v>1983</v>
      </c>
      <c r="Q1135" s="2" t="s">
        <v>3042</v>
      </c>
      <c r="R1135" s="61"/>
    </row>
    <row r="1136" spans="1:18" s="44" customFormat="1" ht="32.25" customHeight="1" outlineLevel="2" x14ac:dyDescent="0.25">
      <c r="A1136" s="3" t="s">
        <v>35</v>
      </c>
      <c r="B1136" s="2" t="s">
        <v>1274</v>
      </c>
      <c r="C1136" s="12" t="s">
        <v>42</v>
      </c>
      <c r="D1136" s="2" t="s">
        <v>1275</v>
      </c>
      <c r="E1136" s="3" t="s">
        <v>1949</v>
      </c>
      <c r="F1136" s="2" t="s">
        <v>496</v>
      </c>
      <c r="G1136" s="2" t="s">
        <v>1276</v>
      </c>
      <c r="H1136" s="3" t="s">
        <v>38</v>
      </c>
      <c r="I1136" s="5">
        <v>5731.4</v>
      </c>
      <c r="J1136" s="5">
        <v>5731.4</v>
      </c>
      <c r="K1136" s="3">
        <v>100</v>
      </c>
      <c r="L1136" s="21">
        <f t="shared" si="74"/>
        <v>2292.56</v>
      </c>
      <c r="M1136" s="5"/>
      <c r="N1136" s="107">
        <f t="shared" si="75"/>
        <v>5731.4</v>
      </c>
      <c r="O1136" s="120">
        <f t="shared" si="76"/>
        <v>2292.56</v>
      </c>
      <c r="P1136" s="92"/>
      <c r="Q1136" s="2" t="s">
        <v>2204</v>
      </c>
      <c r="R1136" s="61"/>
    </row>
    <row r="1137" spans="1:18" s="44" customFormat="1" ht="32.25" customHeight="1" outlineLevel="2" x14ac:dyDescent="0.25">
      <c r="A1137" s="3" t="s">
        <v>35</v>
      </c>
      <c r="B1137" s="2" t="s">
        <v>1288</v>
      </c>
      <c r="C1137" s="12" t="s">
        <v>42</v>
      </c>
      <c r="D1137" s="2" t="s">
        <v>1292</v>
      </c>
      <c r="E1137" s="3" t="s">
        <v>1949</v>
      </c>
      <c r="F1137" s="2" t="s">
        <v>96</v>
      </c>
      <c r="G1137" s="2" t="s">
        <v>550</v>
      </c>
      <c r="H1137" s="3" t="s">
        <v>38</v>
      </c>
      <c r="I1137" s="5">
        <v>17690400</v>
      </c>
      <c r="J1137" s="5">
        <v>14152320</v>
      </c>
      <c r="K1137" s="3">
        <v>80</v>
      </c>
      <c r="L1137" s="21">
        <f t="shared" si="74"/>
        <v>7076160</v>
      </c>
      <c r="M1137" s="5"/>
      <c r="N1137" s="107">
        <f t="shared" si="75"/>
        <v>14152320</v>
      </c>
      <c r="O1137" s="120">
        <f t="shared" si="76"/>
        <v>7076160</v>
      </c>
      <c r="P1137" s="92" t="s">
        <v>2044</v>
      </c>
      <c r="Q1137" s="2" t="s">
        <v>3043</v>
      </c>
      <c r="R1137" s="61"/>
    </row>
    <row r="1138" spans="1:18" s="44" customFormat="1" ht="32.25" customHeight="1" outlineLevel="2" x14ac:dyDescent="0.25">
      <c r="A1138" s="3" t="s">
        <v>35</v>
      </c>
      <c r="B1138" s="2" t="s">
        <v>1298</v>
      </c>
      <c r="C1138" s="12" t="s">
        <v>42</v>
      </c>
      <c r="D1138" s="2" t="s">
        <v>1301</v>
      </c>
      <c r="E1138" s="3" t="s">
        <v>1949</v>
      </c>
      <c r="F1138" s="2" t="s">
        <v>96</v>
      </c>
      <c r="G1138" s="2" t="s">
        <v>1299</v>
      </c>
      <c r="H1138" s="3" t="s">
        <v>38</v>
      </c>
      <c r="I1138" s="5">
        <v>545597.15</v>
      </c>
      <c r="J1138" s="5">
        <v>436477.72</v>
      </c>
      <c r="K1138" s="3">
        <v>80</v>
      </c>
      <c r="L1138" s="21">
        <f t="shared" si="74"/>
        <v>218238.86000000002</v>
      </c>
      <c r="M1138" s="5"/>
      <c r="N1138" s="107">
        <f t="shared" si="75"/>
        <v>436477.72</v>
      </c>
      <c r="O1138" s="120">
        <f t="shared" si="76"/>
        <v>218238.86000000002</v>
      </c>
      <c r="P1138" s="130">
        <v>45562</v>
      </c>
      <c r="Q1138" s="2" t="s">
        <v>2761</v>
      </c>
      <c r="R1138" s="61"/>
    </row>
    <row r="1139" spans="1:18" s="44" customFormat="1" ht="32.25" customHeight="1" outlineLevel="2" x14ac:dyDescent="0.25">
      <c r="A1139" s="3" t="s">
        <v>35</v>
      </c>
      <c r="B1139" s="2" t="s">
        <v>1302</v>
      </c>
      <c r="C1139" s="12" t="s">
        <v>42</v>
      </c>
      <c r="D1139" s="2" t="s">
        <v>1303</v>
      </c>
      <c r="E1139" s="3" t="s">
        <v>1949</v>
      </c>
      <c r="F1139" s="2" t="s">
        <v>96</v>
      </c>
      <c r="G1139" s="2" t="s">
        <v>1304</v>
      </c>
      <c r="H1139" s="3" t="s">
        <v>38</v>
      </c>
      <c r="I1139" s="5">
        <v>2790</v>
      </c>
      <c r="J1139" s="5">
        <v>2232</v>
      </c>
      <c r="K1139" s="3">
        <v>80</v>
      </c>
      <c r="L1139" s="21">
        <f t="shared" si="74"/>
        <v>1116</v>
      </c>
      <c r="M1139" s="5"/>
      <c r="N1139" s="107">
        <f t="shared" si="75"/>
        <v>2232</v>
      </c>
      <c r="O1139" s="120">
        <f t="shared" si="76"/>
        <v>1116</v>
      </c>
      <c r="P1139" s="92"/>
      <c r="Q1139" s="2" t="s">
        <v>2204</v>
      </c>
      <c r="R1139" s="61"/>
    </row>
    <row r="1140" spans="1:18" s="44" customFormat="1" ht="32.25" customHeight="1" outlineLevel="2" x14ac:dyDescent="0.25">
      <c r="A1140" s="3" t="s">
        <v>35</v>
      </c>
      <c r="B1140" s="2" t="s">
        <v>1306</v>
      </c>
      <c r="C1140" s="12" t="s">
        <v>42</v>
      </c>
      <c r="D1140" s="2" t="s">
        <v>1314</v>
      </c>
      <c r="E1140" s="3" t="s">
        <v>1949</v>
      </c>
      <c r="F1140" s="2" t="s">
        <v>96</v>
      </c>
      <c r="G1140" s="2" t="s">
        <v>1308</v>
      </c>
      <c r="H1140" s="3" t="s">
        <v>38</v>
      </c>
      <c r="I1140" s="5">
        <v>104199.92</v>
      </c>
      <c r="J1140" s="5">
        <v>41679.968000000001</v>
      </c>
      <c r="K1140" s="3">
        <v>80</v>
      </c>
      <c r="L1140" s="21">
        <f t="shared" si="74"/>
        <v>41679.968000000001</v>
      </c>
      <c r="M1140" s="5"/>
      <c r="N1140" s="107">
        <f t="shared" si="75"/>
        <v>41679.968000000001</v>
      </c>
      <c r="O1140" s="120">
        <f t="shared" si="76"/>
        <v>41679.968000000001</v>
      </c>
      <c r="P1140" s="92"/>
      <c r="Q1140" s="2" t="s">
        <v>2442</v>
      </c>
      <c r="R1140" s="61"/>
    </row>
    <row r="1141" spans="1:18" s="44" customFormat="1" ht="32.25" customHeight="1" outlineLevel="2" x14ac:dyDescent="0.25">
      <c r="A1141" s="3" t="s">
        <v>35</v>
      </c>
      <c r="B1141" s="2" t="s">
        <v>1642</v>
      </c>
      <c r="C1141" s="12" t="s">
        <v>42</v>
      </c>
      <c r="D1141" s="2" t="s">
        <v>1649</v>
      </c>
      <c r="E1141" s="3" t="s">
        <v>1949</v>
      </c>
      <c r="F1141" s="2" t="s">
        <v>96</v>
      </c>
      <c r="G1141" s="2" t="s">
        <v>1648</v>
      </c>
      <c r="H1141" s="3" t="s">
        <v>38</v>
      </c>
      <c r="I1141" s="5">
        <v>5048143.42</v>
      </c>
      <c r="J1141" s="5">
        <v>4038514.74</v>
      </c>
      <c r="K1141" s="3">
        <v>80</v>
      </c>
      <c r="L1141" s="21">
        <f t="shared" si="74"/>
        <v>2019257.368</v>
      </c>
      <c r="M1141" s="5"/>
      <c r="N1141" s="107">
        <f t="shared" si="75"/>
        <v>4038514.74</v>
      </c>
      <c r="O1141" s="120">
        <f t="shared" si="76"/>
        <v>2019257.368</v>
      </c>
      <c r="P1141" s="92" t="s">
        <v>2017</v>
      </c>
      <c r="Q1141" s="2" t="s">
        <v>3044</v>
      </c>
      <c r="R1141" s="61"/>
    </row>
    <row r="1142" spans="1:18" s="44" customFormat="1" ht="90" customHeight="1" outlineLevel="2" x14ac:dyDescent="0.25">
      <c r="A1142" s="3" t="s">
        <v>35</v>
      </c>
      <c r="B1142" s="2" t="s">
        <v>1655</v>
      </c>
      <c r="C1142" s="12" t="s">
        <v>42</v>
      </c>
      <c r="D1142" s="2" t="s">
        <v>1667</v>
      </c>
      <c r="E1142" s="3" t="s">
        <v>2082</v>
      </c>
      <c r="F1142" s="2" t="s">
        <v>96</v>
      </c>
      <c r="G1142" s="2" t="s">
        <v>1664</v>
      </c>
      <c r="H1142" s="3" t="s">
        <v>38</v>
      </c>
      <c r="I1142" s="5">
        <v>3715892.38</v>
      </c>
      <c r="J1142" s="5">
        <v>2972713.9</v>
      </c>
      <c r="K1142" s="3">
        <v>80</v>
      </c>
      <c r="L1142" s="21">
        <f t="shared" si="74"/>
        <v>1486356.952</v>
      </c>
      <c r="M1142" s="5"/>
      <c r="N1142" s="107">
        <f t="shared" si="75"/>
        <v>2972713.9</v>
      </c>
      <c r="O1142" s="120">
        <f t="shared" si="76"/>
        <v>1486356.952</v>
      </c>
      <c r="P1142" s="92" t="s">
        <v>1983</v>
      </c>
      <c r="Q1142" s="2" t="s">
        <v>2444</v>
      </c>
      <c r="R1142" s="61"/>
    </row>
    <row r="1143" spans="1:18" s="44" customFormat="1" ht="48.75" customHeight="1" outlineLevel="2" x14ac:dyDescent="0.25">
      <c r="A1143" s="3" t="s">
        <v>35</v>
      </c>
      <c r="B1143" s="2" t="s">
        <v>1655</v>
      </c>
      <c r="C1143" s="12" t="s">
        <v>42</v>
      </c>
      <c r="D1143" s="2" t="s">
        <v>1668</v>
      </c>
      <c r="E1143" s="3" t="s">
        <v>2082</v>
      </c>
      <c r="F1143" s="2" t="s">
        <v>96</v>
      </c>
      <c r="G1143" s="2" t="s">
        <v>969</v>
      </c>
      <c r="H1143" s="3" t="s">
        <v>38</v>
      </c>
      <c r="I1143" s="5">
        <v>16452773.960000001</v>
      </c>
      <c r="J1143" s="5">
        <v>13162219.17</v>
      </c>
      <c r="K1143" s="3">
        <v>80</v>
      </c>
      <c r="L1143" s="21">
        <f t="shared" si="74"/>
        <v>6581109.5840000007</v>
      </c>
      <c r="M1143" s="5"/>
      <c r="N1143" s="107">
        <f t="shared" si="75"/>
        <v>13162219.17</v>
      </c>
      <c r="O1143" s="120">
        <f t="shared" si="76"/>
        <v>6581109.5840000007</v>
      </c>
      <c r="P1143" s="130">
        <v>45555</v>
      </c>
      <c r="Q1143" s="2" t="s">
        <v>2445</v>
      </c>
      <c r="R1143" s="61"/>
    </row>
    <row r="1144" spans="1:18" s="44" customFormat="1" ht="49.5" customHeight="1" outlineLevel="2" x14ac:dyDescent="0.25">
      <c r="A1144" s="3" t="s">
        <v>35</v>
      </c>
      <c r="B1144" s="2" t="s">
        <v>1669</v>
      </c>
      <c r="C1144" s="12" t="s">
        <v>42</v>
      </c>
      <c r="D1144" s="2" t="s">
        <v>1675</v>
      </c>
      <c r="E1144" s="3" t="s">
        <v>1949</v>
      </c>
      <c r="F1144" s="2" t="s">
        <v>96</v>
      </c>
      <c r="G1144" s="2" t="s">
        <v>1676</v>
      </c>
      <c r="H1144" s="3" t="s">
        <v>38</v>
      </c>
      <c r="I1144" s="5">
        <v>24675905.390000001</v>
      </c>
      <c r="J1144" s="5">
        <v>19740724.309999999</v>
      </c>
      <c r="K1144" s="3">
        <v>80</v>
      </c>
      <c r="L1144" s="21">
        <f t="shared" si="74"/>
        <v>9870362.1560000014</v>
      </c>
      <c r="M1144" s="5"/>
      <c r="N1144" s="107">
        <f t="shared" si="75"/>
        <v>19740724.309999999</v>
      </c>
      <c r="O1144" s="120">
        <f t="shared" si="76"/>
        <v>9870362.1560000014</v>
      </c>
      <c r="P1144" s="92" t="s">
        <v>2426</v>
      </c>
      <c r="Q1144" s="2" t="s">
        <v>2443</v>
      </c>
      <c r="R1144" s="61"/>
    </row>
    <row r="1145" spans="1:18" s="44" customFormat="1" ht="49.5" customHeight="1" outlineLevel="2" x14ac:dyDescent="0.25">
      <c r="A1145" s="3" t="s">
        <v>35</v>
      </c>
      <c r="B1145" s="2" t="s">
        <v>1685</v>
      </c>
      <c r="C1145" s="12" t="s">
        <v>42</v>
      </c>
      <c r="D1145" s="2" t="s">
        <v>1696</v>
      </c>
      <c r="E1145" s="3" t="s">
        <v>1949</v>
      </c>
      <c r="F1145" s="2" t="s">
        <v>96</v>
      </c>
      <c r="G1145" s="2" t="s">
        <v>1239</v>
      </c>
      <c r="H1145" s="3" t="s">
        <v>38</v>
      </c>
      <c r="I1145" s="5">
        <v>693458.59</v>
      </c>
      <c r="J1145" s="5">
        <v>554766.87</v>
      </c>
      <c r="K1145" s="3">
        <v>80</v>
      </c>
      <c r="L1145" s="21">
        <f t="shared" si="74"/>
        <v>277383.43599999999</v>
      </c>
      <c r="M1145" s="5"/>
      <c r="N1145" s="107">
        <f t="shared" si="75"/>
        <v>554766.87</v>
      </c>
      <c r="O1145" s="120">
        <f t="shared" si="76"/>
        <v>277383.43599999999</v>
      </c>
      <c r="P1145" s="92"/>
      <c r="Q1145" s="2" t="s">
        <v>3045</v>
      </c>
      <c r="R1145" s="61"/>
    </row>
    <row r="1146" spans="1:18" s="53" customFormat="1" ht="49.5" customHeight="1" outlineLevel="2" x14ac:dyDescent="0.25">
      <c r="A1146" s="3" t="s">
        <v>35</v>
      </c>
      <c r="B1146" s="2" t="s">
        <v>1698</v>
      </c>
      <c r="C1146" s="12" t="s">
        <v>42</v>
      </c>
      <c r="D1146" s="2" t="s">
        <v>1701</v>
      </c>
      <c r="E1146" s="3" t="s">
        <v>1949</v>
      </c>
      <c r="F1146" s="2" t="s">
        <v>96</v>
      </c>
      <c r="G1146" s="2" t="s">
        <v>1699</v>
      </c>
      <c r="H1146" s="3" t="s">
        <v>38</v>
      </c>
      <c r="I1146" s="5">
        <v>106256142.99600001</v>
      </c>
      <c r="J1146" s="5">
        <v>85004914.400000006</v>
      </c>
      <c r="K1146" s="3">
        <v>80</v>
      </c>
      <c r="L1146" s="21">
        <f t="shared" si="74"/>
        <v>42502457.198400006</v>
      </c>
      <c r="M1146" s="5"/>
      <c r="N1146" s="107">
        <f t="shared" si="75"/>
        <v>85004914.400000006</v>
      </c>
      <c r="O1146" s="120">
        <f t="shared" si="76"/>
        <v>42502457.198400006</v>
      </c>
      <c r="P1146" s="92"/>
      <c r="Q1146" s="2" t="s">
        <v>3046</v>
      </c>
      <c r="R1146" s="144"/>
    </row>
    <row r="1147" spans="1:18" s="44" customFormat="1" ht="49.5" customHeight="1" outlineLevel="2" x14ac:dyDescent="0.25">
      <c r="A1147" s="3" t="s">
        <v>35</v>
      </c>
      <c r="B1147" s="2" t="s">
        <v>1718</v>
      </c>
      <c r="C1147" s="12" t="s">
        <v>42</v>
      </c>
      <c r="D1147" s="2" t="s">
        <v>1726</v>
      </c>
      <c r="E1147" s="3" t="s">
        <v>2082</v>
      </c>
      <c r="F1147" s="2" t="s">
        <v>96</v>
      </c>
      <c r="G1147" s="2" t="s">
        <v>1720</v>
      </c>
      <c r="H1147" s="3" t="s">
        <v>38</v>
      </c>
      <c r="I1147" s="5">
        <v>2076371.2</v>
      </c>
      <c r="J1147" s="5">
        <v>1661096.96</v>
      </c>
      <c r="K1147" s="3">
        <v>80</v>
      </c>
      <c r="L1147" s="21">
        <f t="shared" si="74"/>
        <v>830548.47999999998</v>
      </c>
      <c r="M1147" s="5"/>
      <c r="N1147" s="107">
        <f t="shared" si="75"/>
        <v>1661096.96</v>
      </c>
      <c r="O1147" s="120">
        <f t="shared" si="76"/>
        <v>830548.47999999998</v>
      </c>
      <c r="P1147" s="92"/>
      <c r="Q1147" s="2" t="s">
        <v>2762</v>
      </c>
      <c r="R1147" s="61"/>
    </row>
    <row r="1148" spans="1:18" s="53" customFormat="1" ht="49.5" customHeight="1" outlineLevel="2" x14ac:dyDescent="0.25">
      <c r="A1148" s="3" t="s">
        <v>35</v>
      </c>
      <c r="B1148" s="2" t="s">
        <v>1734</v>
      </c>
      <c r="C1148" s="12" t="s">
        <v>42</v>
      </c>
      <c r="D1148" s="2" t="s">
        <v>1742</v>
      </c>
      <c r="E1148" s="3" t="s">
        <v>1949</v>
      </c>
      <c r="F1148" s="2" t="s">
        <v>96</v>
      </c>
      <c r="G1148" s="2" t="s">
        <v>1743</v>
      </c>
      <c r="H1148" s="3" t="s">
        <v>38</v>
      </c>
      <c r="I1148" s="5">
        <v>75801600</v>
      </c>
      <c r="J1148" s="5">
        <v>60641280</v>
      </c>
      <c r="K1148" s="3">
        <v>80</v>
      </c>
      <c r="L1148" s="21">
        <f t="shared" si="74"/>
        <v>30320640</v>
      </c>
      <c r="M1148" s="5"/>
      <c r="N1148" s="107">
        <f t="shared" si="75"/>
        <v>60641280</v>
      </c>
      <c r="O1148" s="120">
        <f t="shared" si="76"/>
        <v>30320640</v>
      </c>
      <c r="P1148" s="92" t="s">
        <v>2044</v>
      </c>
      <c r="Q1148" s="2" t="s">
        <v>2763</v>
      </c>
      <c r="R1148" s="144"/>
    </row>
    <row r="1149" spans="1:18" s="44" customFormat="1" ht="49.5" customHeight="1" outlineLevel="2" x14ac:dyDescent="0.25">
      <c r="A1149" s="3" t="s">
        <v>35</v>
      </c>
      <c r="B1149" s="2" t="s">
        <v>1770</v>
      </c>
      <c r="C1149" s="12" t="s">
        <v>42</v>
      </c>
      <c r="D1149" s="2" t="s">
        <v>1773</v>
      </c>
      <c r="E1149" s="3" t="s">
        <v>1949</v>
      </c>
      <c r="F1149" s="2" t="s">
        <v>96</v>
      </c>
      <c r="G1149" s="2" t="s">
        <v>1772</v>
      </c>
      <c r="H1149" s="3" t="s">
        <v>38</v>
      </c>
      <c r="I1149" s="5">
        <v>3460363.31</v>
      </c>
      <c r="J1149" s="5">
        <v>2768290.65</v>
      </c>
      <c r="K1149" s="3">
        <v>80</v>
      </c>
      <c r="L1149" s="21">
        <f t="shared" si="74"/>
        <v>1384145.324</v>
      </c>
      <c r="M1149" s="5"/>
      <c r="N1149" s="107">
        <f t="shared" si="75"/>
        <v>2768290.65</v>
      </c>
      <c r="O1149" s="120">
        <f t="shared" si="76"/>
        <v>1384145.324</v>
      </c>
      <c r="P1149" s="92"/>
      <c r="Q1149" s="2" t="s">
        <v>3030</v>
      </c>
      <c r="R1149" s="61"/>
    </row>
    <row r="1150" spans="1:18" s="44" customFormat="1" ht="49.5" customHeight="1" outlineLevel="2" x14ac:dyDescent="0.25">
      <c r="A1150" s="3" t="s">
        <v>35</v>
      </c>
      <c r="B1150" s="2" t="s">
        <v>1777</v>
      </c>
      <c r="C1150" s="12" t="s">
        <v>42</v>
      </c>
      <c r="D1150" s="2" t="s">
        <v>1781</v>
      </c>
      <c r="E1150" s="3" t="s">
        <v>1949</v>
      </c>
      <c r="F1150" s="2" t="s">
        <v>96</v>
      </c>
      <c r="G1150" s="2" t="s">
        <v>1778</v>
      </c>
      <c r="H1150" s="3" t="s">
        <v>38</v>
      </c>
      <c r="I1150" s="5">
        <v>13540800</v>
      </c>
      <c r="J1150" s="5">
        <v>10832640</v>
      </c>
      <c r="K1150" s="3">
        <v>80</v>
      </c>
      <c r="L1150" s="21">
        <f t="shared" si="74"/>
        <v>5416320</v>
      </c>
      <c r="M1150" s="5"/>
      <c r="N1150" s="107">
        <f t="shared" si="75"/>
        <v>10832640</v>
      </c>
      <c r="O1150" s="120">
        <f t="shared" si="76"/>
        <v>5416320</v>
      </c>
      <c r="P1150" s="92"/>
      <c r="Q1150" s="2" t="s">
        <v>3047</v>
      </c>
      <c r="R1150" s="61"/>
    </row>
    <row r="1151" spans="1:18" s="44" customFormat="1" ht="49.5" customHeight="1" outlineLevel="2" x14ac:dyDescent="0.25">
      <c r="A1151" s="3" t="s">
        <v>35</v>
      </c>
      <c r="B1151" s="2" t="s">
        <v>1811</v>
      </c>
      <c r="C1151" s="12" t="s">
        <v>42</v>
      </c>
      <c r="D1151" s="2" t="s">
        <v>1819</v>
      </c>
      <c r="E1151" s="3" t="s">
        <v>1949</v>
      </c>
      <c r="F1151" s="2" t="s">
        <v>96</v>
      </c>
      <c r="G1151" s="2" t="s">
        <v>1813</v>
      </c>
      <c r="H1151" s="3" t="s">
        <v>38</v>
      </c>
      <c r="I1151" s="5">
        <v>763565</v>
      </c>
      <c r="J1151" s="5">
        <v>763565</v>
      </c>
      <c r="K1151" s="3">
        <v>80</v>
      </c>
      <c r="L1151" s="21">
        <v>763565</v>
      </c>
      <c r="M1151" s="5"/>
      <c r="N1151" s="107">
        <f t="shared" si="75"/>
        <v>763565</v>
      </c>
      <c r="O1151" s="120">
        <f t="shared" si="76"/>
        <v>763565</v>
      </c>
      <c r="P1151" s="135">
        <v>45536</v>
      </c>
      <c r="Q1151" s="2" t="s">
        <v>2446</v>
      </c>
      <c r="R1151" s="61"/>
    </row>
    <row r="1152" spans="1:18" s="53" customFormat="1" ht="49.5" customHeight="1" outlineLevel="2" x14ac:dyDescent="0.25">
      <c r="A1152" s="3" t="s">
        <v>35</v>
      </c>
      <c r="B1152" s="2" t="s">
        <v>1831</v>
      </c>
      <c r="C1152" s="12" t="s">
        <v>42</v>
      </c>
      <c r="D1152" s="2" t="s">
        <v>1841</v>
      </c>
      <c r="E1152" s="3" t="s">
        <v>1949</v>
      </c>
      <c r="F1152" s="2" t="s">
        <v>96</v>
      </c>
      <c r="G1152" s="2" t="s">
        <v>1839</v>
      </c>
      <c r="H1152" s="3" t="s">
        <v>38</v>
      </c>
      <c r="I1152" s="5">
        <v>205270477.91999999</v>
      </c>
      <c r="J1152" s="5">
        <v>164216382.34</v>
      </c>
      <c r="K1152" s="3">
        <v>80</v>
      </c>
      <c r="L1152" s="21">
        <f t="shared" ref="L1152:L1157" si="77">I1152*40%</f>
        <v>82108191.167999998</v>
      </c>
      <c r="M1152" s="5"/>
      <c r="N1152" s="107">
        <f t="shared" si="75"/>
        <v>164216382.34</v>
      </c>
      <c r="O1152" s="120">
        <f t="shared" si="76"/>
        <v>82108191.167999998</v>
      </c>
      <c r="P1152" s="130">
        <v>45562</v>
      </c>
      <c r="Q1152" s="2" t="s">
        <v>2764</v>
      </c>
      <c r="R1152" s="144"/>
    </row>
    <row r="1153" spans="1:18" s="44" customFormat="1" ht="62.25" customHeight="1" outlineLevel="2" x14ac:dyDescent="0.25">
      <c r="A1153" s="3" t="s">
        <v>35</v>
      </c>
      <c r="B1153" s="2" t="s">
        <v>1846</v>
      </c>
      <c r="C1153" s="12" t="s">
        <v>42</v>
      </c>
      <c r="D1153" s="2" t="s">
        <v>1853</v>
      </c>
      <c r="E1153" s="3" t="s">
        <v>1949</v>
      </c>
      <c r="F1153" s="2" t="s">
        <v>96</v>
      </c>
      <c r="G1153" s="2" t="s">
        <v>1854</v>
      </c>
      <c r="H1153" s="3" t="s">
        <v>38</v>
      </c>
      <c r="I1153" s="5">
        <v>117589.2</v>
      </c>
      <c r="J1153" s="5">
        <v>94071.360000000001</v>
      </c>
      <c r="K1153" s="3">
        <v>80</v>
      </c>
      <c r="L1153" s="21">
        <f t="shared" si="77"/>
        <v>47035.68</v>
      </c>
      <c r="M1153" s="5"/>
      <c r="N1153" s="107">
        <f t="shared" si="75"/>
        <v>94071.360000000001</v>
      </c>
      <c r="O1153" s="120">
        <f t="shared" si="76"/>
        <v>47035.68</v>
      </c>
      <c r="P1153" s="92" t="s">
        <v>1983</v>
      </c>
      <c r="Q1153" s="2" t="s">
        <v>2447</v>
      </c>
      <c r="R1153" s="61"/>
    </row>
    <row r="1154" spans="1:18" s="44" customFormat="1" ht="49.5" customHeight="1" outlineLevel="2" x14ac:dyDescent="0.25">
      <c r="A1154" s="3" t="s">
        <v>35</v>
      </c>
      <c r="B1154" s="2" t="s">
        <v>1855</v>
      </c>
      <c r="C1154" s="12" t="s">
        <v>42</v>
      </c>
      <c r="D1154" s="2" t="s">
        <v>1864</v>
      </c>
      <c r="E1154" s="3" t="s">
        <v>1949</v>
      </c>
      <c r="F1154" s="2" t="s">
        <v>96</v>
      </c>
      <c r="G1154" s="2" t="s">
        <v>1865</v>
      </c>
      <c r="H1154" s="3" t="s">
        <v>38</v>
      </c>
      <c r="I1154" s="5">
        <v>35637.599999999999</v>
      </c>
      <c r="J1154" s="5">
        <v>35637.599999999999</v>
      </c>
      <c r="K1154" s="3">
        <v>80</v>
      </c>
      <c r="L1154" s="5">
        <v>35637.599999999999</v>
      </c>
      <c r="M1154" s="5"/>
      <c r="N1154" s="107">
        <f t="shared" si="75"/>
        <v>35637.599999999999</v>
      </c>
      <c r="O1154" s="120">
        <f t="shared" si="76"/>
        <v>35637.599999999999</v>
      </c>
      <c r="P1154" s="3" t="s">
        <v>2017</v>
      </c>
      <c r="Q1154" s="2" t="s">
        <v>3048</v>
      </c>
      <c r="R1154" s="61"/>
    </row>
    <row r="1155" spans="1:18" s="44" customFormat="1" ht="48" customHeight="1" outlineLevel="2" x14ac:dyDescent="0.25">
      <c r="A1155" s="3" t="s">
        <v>35</v>
      </c>
      <c r="B1155" s="2" t="s">
        <v>1875</v>
      </c>
      <c r="C1155" s="12" t="s">
        <v>42</v>
      </c>
      <c r="D1155" s="2" t="s">
        <v>1882</v>
      </c>
      <c r="E1155" s="3" t="s">
        <v>1949</v>
      </c>
      <c r="F1155" s="2" t="s">
        <v>96</v>
      </c>
      <c r="G1155" s="2" t="s">
        <v>1883</v>
      </c>
      <c r="H1155" s="3" t="s">
        <v>38</v>
      </c>
      <c r="I1155" s="5">
        <v>3963816</v>
      </c>
      <c r="J1155" s="27">
        <v>3963816</v>
      </c>
      <c r="K1155" s="3">
        <v>80</v>
      </c>
      <c r="L1155" s="27">
        <v>3963816</v>
      </c>
      <c r="M1155" s="5"/>
      <c r="N1155" s="107">
        <f t="shared" si="75"/>
        <v>3963816</v>
      </c>
      <c r="O1155" s="120">
        <f t="shared" si="76"/>
        <v>3963816</v>
      </c>
      <c r="P1155" s="1">
        <v>45562</v>
      </c>
      <c r="Q1155" s="2" t="s">
        <v>3049</v>
      </c>
      <c r="R1155" s="61"/>
    </row>
    <row r="1156" spans="1:18" s="44" customFormat="1" ht="48" customHeight="1" outlineLevel="2" x14ac:dyDescent="0.25">
      <c r="A1156" s="3" t="s">
        <v>35</v>
      </c>
      <c r="B1156" s="2" t="s">
        <v>1905</v>
      </c>
      <c r="C1156" s="12" t="s">
        <v>42</v>
      </c>
      <c r="D1156" s="2" t="s">
        <v>1914</v>
      </c>
      <c r="E1156" s="3" t="s">
        <v>2082</v>
      </c>
      <c r="F1156" s="2" t="s">
        <v>96</v>
      </c>
      <c r="G1156" s="2" t="s">
        <v>1908</v>
      </c>
      <c r="H1156" s="3" t="s">
        <v>38</v>
      </c>
      <c r="I1156" s="5">
        <v>1901330.69</v>
      </c>
      <c r="J1156" s="5">
        <v>1901330.69</v>
      </c>
      <c r="K1156" s="3">
        <v>80</v>
      </c>
      <c r="L1156" s="5">
        <v>1901330.69</v>
      </c>
      <c r="M1156" s="5"/>
      <c r="N1156" s="107">
        <f t="shared" si="75"/>
        <v>1901330.69</v>
      </c>
      <c r="O1156" s="120">
        <f t="shared" si="76"/>
        <v>1901330.69</v>
      </c>
      <c r="P1156" s="130">
        <v>45541</v>
      </c>
      <c r="Q1156" s="2" t="s">
        <v>3051</v>
      </c>
      <c r="R1156" s="61"/>
    </row>
    <row r="1157" spans="1:18" s="44" customFormat="1" ht="48" customHeight="1" outlineLevel="2" x14ac:dyDescent="0.25">
      <c r="A1157" s="3" t="s">
        <v>35</v>
      </c>
      <c r="B1157" s="2" t="s">
        <v>1915</v>
      </c>
      <c r="C1157" s="12" t="s">
        <v>42</v>
      </c>
      <c r="D1157" s="2" t="s">
        <v>1922</v>
      </c>
      <c r="E1157" s="3" t="s">
        <v>1949</v>
      </c>
      <c r="F1157" s="2" t="s">
        <v>96</v>
      </c>
      <c r="G1157" s="2" t="s">
        <v>1923</v>
      </c>
      <c r="H1157" s="3" t="s">
        <v>38</v>
      </c>
      <c r="I1157" s="5">
        <v>4758637.0999999996</v>
      </c>
      <c r="J1157" s="5">
        <v>3806909.68</v>
      </c>
      <c r="K1157" s="3">
        <v>80</v>
      </c>
      <c r="L1157" s="21">
        <f t="shared" si="77"/>
        <v>1903454.8399999999</v>
      </c>
      <c r="M1157" s="5"/>
      <c r="N1157" s="107">
        <f t="shared" si="75"/>
        <v>3806909.68</v>
      </c>
      <c r="O1157" s="120">
        <f t="shared" si="76"/>
        <v>1903454.8399999999</v>
      </c>
      <c r="P1157" s="130">
        <v>45569</v>
      </c>
      <c r="Q1157" s="2" t="s">
        <v>2448</v>
      </c>
      <c r="R1157" s="61"/>
    </row>
    <row r="1158" spans="1:18" s="44" customFormat="1" ht="48" customHeight="1" outlineLevel="2" x14ac:dyDescent="0.25">
      <c r="A1158" s="3"/>
      <c r="B1158" s="3" t="s">
        <v>1936</v>
      </c>
      <c r="C1158" s="12" t="s">
        <v>42</v>
      </c>
      <c r="D1158" s="2" t="s">
        <v>1939</v>
      </c>
      <c r="E1158" s="3"/>
      <c r="F1158" s="2"/>
      <c r="G1158" s="2" t="s">
        <v>1937</v>
      </c>
      <c r="H1158" s="3"/>
      <c r="I1158" s="5">
        <v>1247266.1499999999</v>
      </c>
      <c r="J1158" s="5">
        <v>997812.92</v>
      </c>
      <c r="K1158" s="3"/>
      <c r="L1158" s="21">
        <v>498906.45999999996</v>
      </c>
      <c r="M1158" s="5"/>
      <c r="N1158" s="107"/>
      <c r="O1158" s="120">
        <f t="shared" si="76"/>
        <v>498906.45999999996</v>
      </c>
      <c r="P1158" s="130"/>
      <c r="Q1158" s="2" t="s">
        <v>3050</v>
      </c>
      <c r="R1158" s="61"/>
    </row>
    <row r="1159" spans="1:18" s="44" customFormat="1" ht="23.25" customHeight="1" x14ac:dyDescent="0.25">
      <c r="A1159" s="145"/>
      <c r="B1159" s="147"/>
      <c r="C1159" s="154" t="s">
        <v>1948</v>
      </c>
      <c r="D1159" s="2"/>
      <c r="E1159" s="158"/>
      <c r="F1159" s="2"/>
      <c r="G1159" s="147"/>
      <c r="H1159" s="3"/>
      <c r="I1159" s="27">
        <f>SUM(I1062:I1157)</f>
        <v>9312956504.8560009</v>
      </c>
      <c r="J1159" s="27">
        <f>SUM(J1062:J1157)</f>
        <v>4876703903.0299969</v>
      </c>
      <c r="K1159" s="27"/>
      <c r="L1159" s="148">
        <f>SUM(L1062:L1157)</f>
        <v>2920178462.6464005</v>
      </c>
      <c r="M1159" s="148">
        <f>SUM(M1062:M1157)</f>
        <v>1259263868.21</v>
      </c>
      <c r="N1159" s="27">
        <f>SUM(N1062:N1157)</f>
        <v>3617440132.7300005</v>
      </c>
      <c r="O1159" s="148">
        <f>SUM(O1062:O1157)</f>
        <v>1660914594.4363997</v>
      </c>
      <c r="P1159" s="92"/>
      <c r="Q1159" s="3"/>
      <c r="R1159" s="61"/>
    </row>
    <row r="1160" spans="1:18" s="44" customFormat="1" x14ac:dyDescent="0.25">
      <c r="A1160" s="171" t="s">
        <v>35</v>
      </c>
      <c r="B1160" s="184"/>
      <c r="C1160" s="175" t="s">
        <v>1943</v>
      </c>
      <c r="D1160" s="2"/>
      <c r="E1160" s="178"/>
      <c r="F1160" s="2"/>
      <c r="G1160" s="184"/>
      <c r="H1160" s="3"/>
      <c r="I1160" s="31">
        <f t="shared" ref="I1160:O1160" si="78">I967+I1035+I1061+I1159</f>
        <v>10514711833.886002</v>
      </c>
      <c r="J1160" s="31">
        <f t="shared" si="78"/>
        <v>5916135509.9279966</v>
      </c>
      <c r="K1160" s="31">
        <f t="shared" si="78"/>
        <v>2695</v>
      </c>
      <c r="L1160" s="185">
        <f t="shared" si="78"/>
        <v>3400880594.2584004</v>
      </c>
      <c r="M1160" s="185">
        <f t="shared" si="78"/>
        <v>1534483916.49</v>
      </c>
      <c r="N1160" s="31">
        <f t="shared" si="78"/>
        <v>4381651691.3480005</v>
      </c>
      <c r="O1160" s="185">
        <f t="shared" si="78"/>
        <v>1866396677.7683997</v>
      </c>
      <c r="P1160" s="92"/>
      <c r="Q1160" s="3"/>
      <c r="R1160" s="61"/>
    </row>
    <row r="1161" spans="1:18" ht="22.5" customHeight="1" x14ac:dyDescent="0.2">
      <c r="A1161" s="186" t="s">
        <v>2478</v>
      </c>
      <c r="B1161" s="187"/>
      <c r="C1161" s="188"/>
      <c r="E1161" s="189"/>
      <c r="G1161" s="187"/>
      <c r="J1161" s="138" t="s">
        <v>2478</v>
      </c>
      <c r="L1161" s="190">
        <f t="shared" ref="L1161:Q1161" si="79">L177+L497+L787+L874+L958+L1160</f>
        <v>32822149808.457863</v>
      </c>
      <c r="M1161" s="190">
        <f t="shared" si="79"/>
        <v>24609254773.567997</v>
      </c>
      <c r="N1161" s="31">
        <f t="shared" si="79"/>
        <v>31744497231.976803</v>
      </c>
      <c r="O1161" s="190">
        <f t="shared" si="79"/>
        <v>8248747505.2843781</v>
      </c>
      <c r="P1161" s="190">
        <f t="shared" si="79"/>
        <v>455885</v>
      </c>
      <c r="Q1161" s="190">
        <f t="shared" si="79"/>
        <v>0</v>
      </c>
    </row>
    <row r="1162" spans="1:18" x14ac:dyDescent="0.2">
      <c r="L1162" s="63"/>
      <c r="M1162" s="20"/>
      <c r="N1162" s="20"/>
      <c r="O1162" s="20"/>
    </row>
  </sheetData>
  <customSheetViews>
    <customSheetView guid="{73072050-98BD-46C0-8A4C-3932EBD7E281}" state="hidden" topLeftCell="A94">
      <selection activeCell="R351" sqref="R351"/>
      <pageMargins left="0.7" right="0.7" top="0.75" bottom="0.75" header="0.3" footer="0.3"/>
    </customSheetView>
    <customSheetView guid="{B93223BC-1772-42BF-90C8-640142444BC1}" state="hidden" topLeftCell="A94">
      <selection activeCell="R351" sqref="R351"/>
      <pageMargins left="0.7" right="0.7" top="0.75" bottom="0.75" header="0.3" footer="0.3"/>
    </customSheetView>
    <customSheetView guid="{FB04DBF9-3DAE-4A9A-8FD3-86262C957280}" state="hidden" topLeftCell="A94">
      <selection activeCell="R351" sqref="R351"/>
      <pageMargins left="0.7" right="0.7" top="0.75" bottom="0.75" header="0.3" footer="0.3"/>
    </customSheetView>
    <customSheetView guid="{454CB70A-9A73-4325-9C58-1B49A5599622}" state="hidden" topLeftCell="A94">
      <selection activeCell="R351" sqref="R351"/>
      <pageMargins left="0.7" right="0.7" top="0.75" bottom="0.75" header="0.3" footer="0.3"/>
    </customSheetView>
    <customSheetView guid="{40F90B7E-FC10-4F1A-82E4-6A6AD32FB98B}" state="hidden" topLeftCell="A94">
      <selection activeCell="R351" sqref="R351"/>
      <pageMargins left="0.7" right="0.7" top="0.75" bottom="0.75" header="0.3" footer="0.3"/>
    </customSheetView>
    <customSheetView guid="{01E07965-7B53-45C5-A9B0-1A47583A6EFC}" state="hidden" topLeftCell="A94">
      <selection activeCell="R351" sqref="R351"/>
      <pageMargins left="0.7" right="0.7" top="0.75" bottom="0.75" header="0.3" footer="0.3"/>
    </customSheetView>
    <customSheetView guid="{F7F864E1-89C5-4BA7-86DA-D834C115EB5E}" state="hidden" topLeftCell="A94">
      <selection activeCell="R351" sqref="R351"/>
      <pageMargins left="0.7" right="0.7" top="0.75" bottom="0.75" header="0.3" footer="0.3"/>
    </customSheetView>
    <customSheetView guid="{B655AD65-550A-443B-8E49-D4A3A03BCD10}" state="hidden" topLeftCell="A94">
      <selection activeCell="R351" sqref="R351"/>
      <pageMargins left="0.7" right="0.7" top="0.75" bottom="0.75" header="0.3" footer="0.3"/>
    </customSheetView>
    <customSheetView guid="{11A5B54D-6421-466E-906D-45CB895474C7}">
      <pageMargins left="0.7" right="0.7" top="0.75" bottom="0.75" header="0.3" footer="0.3"/>
    </customSheetView>
    <customSheetView guid="{00A83F4A-6A4C-476D-A12F-01D297E7AF97}" state="hidden" topLeftCell="A94">
      <selection activeCell="R351" sqref="R351"/>
      <pageMargins left="0.7" right="0.7" top="0.75" bottom="0.75" header="0.3" footer="0.3"/>
    </customSheetView>
    <customSheetView guid="{2DAE39AD-3E49-4CE8-902A-8AD7FD004A0A}" state="hidden" topLeftCell="A94">
      <selection activeCell="R351" sqref="R351"/>
      <pageMargins left="0.7" right="0.7" top="0.75" bottom="0.75" header="0.3" footer="0.3"/>
    </customSheetView>
    <customSheetView guid="{F4E05CBE-2792-464C-B7E1-0109C2C2CF07}" state="hidden" topLeftCell="A94">
      <selection activeCell="R351" sqref="R351"/>
      <pageMargins left="0.7" right="0.7" top="0.75" bottom="0.75" header="0.3" footer="0.3"/>
    </customSheetView>
    <customSheetView guid="{C85A34E0-3C83-4DC8-81EA-788ADEED57CA}" state="hidden" topLeftCell="A94">
      <selection activeCell="R351" sqref="R351"/>
      <pageMargins left="0.7" right="0.7" top="0.75" bottom="0.75" header="0.3" footer="0.3"/>
    </customSheetView>
    <customSheetView guid="{D9B4F6B6-4C58-4DE1-9132-EE0B1CCD77CC}" state="hidden" topLeftCell="A94">
      <selection activeCell="R351" sqref="R351"/>
      <pageMargins left="0.7" right="0.7" top="0.75" bottom="0.75" header="0.3" footer="0.3"/>
    </customSheetView>
    <customSheetView guid="{48731D45-38D6-4C30-B312-6410F84E80CC}" state="hidden" topLeftCell="A94">
      <selection activeCell="R351" sqref="R351"/>
      <pageMargins left="0.7" right="0.7" top="0.75" bottom="0.75" header="0.3" footer="0.3"/>
    </customSheetView>
    <customSheetView guid="{B656951A-E1FC-411E-8DBA-EFBCE5DDBF7F}" state="hidden" topLeftCell="A94">
      <selection activeCell="R351" sqref="R351"/>
      <pageMargins left="0.7" right="0.7" top="0.75" bottom="0.75" header="0.3" footer="0.3"/>
    </customSheetView>
    <customSheetView guid="{BCE1722D-66F7-4E27-B2F5-76D7FA53A180}" state="hidden" topLeftCell="A94">
      <selection activeCell="R351" sqref="R351"/>
      <pageMargins left="0.7" right="0.7" top="0.75" bottom="0.75" header="0.3" footer="0.3"/>
    </customSheetView>
    <customSheetView guid="{2CC1AE45-D62A-4A8B-B580-3455D4ACD473}" state="hidden" topLeftCell="A94">
      <selection activeCell="R351" sqref="R351"/>
      <pageMargins left="0.7" right="0.7" top="0.75" bottom="0.75" header="0.3" footer="0.3"/>
    </customSheetView>
    <customSheetView guid="{EA59B395-89A4-40A4-ABB1-654FBF35292C}" state="hidden" topLeftCell="A94">
      <selection activeCell="R351" sqref="R351"/>
      <pageMargins left="0.7" right="0.7" top="0.75" bottom="0.75" header="0.3" footer="0.3"/>
    </customSheetView>
  </customSheetViews>
  <mergeCells count="2">
    <mergeCell ref="A1:Q1"/>
    <mergeCell ref="L1077:L107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view="pageBreakPreview" zoomScale="90" zoomScaleNormal="100" zoomScaleSheetLayoutView="90" workbookViewId="0">
      <selection activeCell="J1" sqref="J1:J1048576"/>
    </sheetView>
  </sheetViews>
  <sheetFormatPr defaultRowHeight="15" outlineLevelRow="1" x14ac:dyDescent="0.25"/>
  <cols>
    <col min="1" max="1" width="33.6640625" style="194" customWidth="1"/>
    <col min="2" max="2" width="11.33203125" style="197" customWidth="1"/>
    <col min="3" max="7" width="25.33203125" style="195" customWidth="1"/>
    <col min="8" max="8" width="25.33203125" style="194" hidden="1" customWidth="1"/>
    <col min="9" max="9" width="25.6640625" style="195" customWidth="1"/>
    <col min="10" max="12" width="25.5" style="195" customWidth="1"/>
    <col min="13" max="13" width="17.33203125" style="207" customWidth="1"/>
    <col min="14" max="15" width="16.33203125" style="207" customWidth="1"/>
    <col min="16" max="16" width="16.33203125" style="194" customWidth="1"/>
    <col min="17" max="17" width="9.33203125" style="194" customWidth="1"/>
    <col min="18" max="18" width="17.1640625" style="194" customWidth="1"/>
    <col min="19" max="19" width="20.1640625" style="194" bestFit="1" customWidth="1"/>
    <col min="20" max="20" width="18.1640625" style="194" bestFit="1" customWidth="1"/>
    <col min="21" max="16384" width="9.33203125" style="194"/>
  </cols>
  <sheetData>
    <row r="1" spans="1:20" x14ac:dyDescent="0.25">
      <c r="A1" s="203" t="s">
        <v>3060</v>
      </c>
      <c r="B1" s="204"/>
      <c r="C1" s="205"/>
      <c r="D1" s="205"/>
      <c r="E1" s="205"/>
      <c r="F1" s="205"/>
      <c r="G1" s="205"/>
      <c r="H1" s="204"/>
      <c r="I1" s="206"/>
      <c r="J1" s="206"/>
      <c r="K1" s="206"/>
      <c r="L1" s="206">
        <v>45666</v>
      </c>
    </row>
    <row r="2" spans="1:20" s="196" customFormat="1" ht="59.25" customHeight="1" x14ac:dyDescent="0.2">
      <c r="A2" s="208" t="s">
        <v>0</v>
      </c>
      <c r="B2" s="208" t="s">
        <v>2521</v>
      </c>
      <c r="C2" s="209" t="s">
        <v>2522</v>
      </c>
      <c r="D2" s="209" t="s">
        <v>2469</v>
      </c>
      <c r="E2" s="210" t="s">
        <v>3058</v>
      </c>
      <c r="F2" s="210" t="s">
        <v>3056</v>
      </c>
      <c r="G2" s="210" t="s">
        <v>3057</v>
      </c>
      <c r="H2" s="17" t="s">
        <v>2523</v>
      </c>
      <c r="I2" s="210" t="s">
        <v>3059</v>
      </c>
      <c r="J2" s="202" t="s">
        <v>3063</v>
      </c>
      <c r="K2" s="210" t="s">
        <v>3061</v>
      </c>
      <c r="L2" s="202" t="s">
        <v>3062</v>
      </c>
      <c r="M2" s="211"/>
      <c r="N2" s="211"/>
      <c r="O2" s="211"/>
    </row>
    <row r="3" spans="1:20" ht="17.25" customHeight="1" x14ac:dyDescent="0.25">
      <c r="A3" s="212" t="s">
        <v>20</v>
      </c>
      <c r="B3" s="213"/>
      <c r="C3" s="214" t="e">
        <f t="shared" ref="C3:L3" si="0">SUM(C4:C7)</f>
        <v>#REF!</v>
      </c>
      <c r="D3" s="214" t="e">
        <f t="shared" si="0"/>
        <v>#REF!</v>
      </c>
      <c r="E3" s="214" t="e">
        <f t="shared" si="0"/>
        <v>#REF!</v>
      </c>
      <c r="F3" s="214" t="e">
        <f t="shared" si="0"/>
        <v>#REF!</v>
      </c>
      <c r="G3" s="214" t="e">
        <f t="shared" si="0"/>
        <v>#REF!</v>
      </c>
      <c r="H3" s="215">
        <f t="shared" si="0"/>
        <v>731828690.26800001</v>
      </c>
      <c r="I3" s="214" t="e">
        <f t="shared" si="0"/>
        <v>#REF!</v>
      </c>
      <c r="J3" s="214" t="e">
        <f>SUM(J4:J7)</f>
        <v>#REF!</v>
      </c>
      <c r="K3" s="214" t="e">
        <f t="shared" si="0"/>
        <v>#REF!</v>
      </c>
      <c r="L3" s="214" t="e">
        <f t="shared" si="0"/>
        <v>#REF!</v>
      </c>
      <c r="M3" s="207" t="e">
        <f t="shared" ref="M3:M33" si="1">C3-E3</f>
        <v>#REF!</v>
      </c>
      <c r="N3" s="207" t="e">
        <f t="shared" ref="N3:N33" si="2">F3-M3</f>
        <v>#REF!</v>
      </c>
      <c r="O3" s="207" t="e">
        <f t="shared" ref="O3:O33" si="3">D3-E3</f>
        <v>#REF!</v>
      </c>
      <c r="P3" s="200" t="e">
        <f t="shared" ref="P3:P33" si="4">G3-O3</f>
        <v>#REF!</v>
      </c>
      <c r="R3" s="200"/>
      <c r="S3" s="200"/>
    </row>
    <row r="4" spans="1:20" ht="17.25" customHeight="1" outlineLevel="1" x14ac:dyDescent="0.25">
      <c r="A4" s="199"/>
      <c r="B4" s="216">
        <v>424</v>
      </c>
      <c r="C4" s="217" t="e">
        <f>#REF!</f>
        <v>#REF!</v>
      </c>
      <c r="D4" s="201" t="e">
        <f>#REF!</f>
        <v>#REF!</v>
      </c>
      <c r="E4" s="201" t="e">
        <f>#REF!</f>
        <v>#REF!</v>
      </c>
      <c r="F4" s="201" t="e">
        <f>C4-E4</f>
        <v>#REF!</v>
      </c>
      <c r="G4" s="201" t="e">
        <f>D4-E4</f>
        <v>#REF!</v>
      </c>
      <c r="H4" s="218">
        <v>2628013.6800000002</v>
      </c>
      <c r="I4" s="201" t="s">
        <v>3055</v>
      </c>
      <c r="J4" s="201" t="e">
        <f>#REF!</f>
        <v>#REF!</v>
      </c>
      <c r="K4" s="201" t="e">
        <f>#REF!</f>
        <v>#REF!</v>
      </c>
      <c r="L4" s="201" t="e">
        <f>#REF!</f>
        <v>#REF!</v>
      </c>
      <c r="M4" s="207" t="e">
        <f t="shared" si="1"/>
        <v>#REF!</v>
      </c>
      <c r="N4" s="207" t="e">
        <f t="shared" si="2"/>
        <v>#REF!</v>
      </c>
      <c r="O4" s="207" t="e">
        <f t="shared" si="3"/>
        <v>#REF!</v>
      </c>
      <c r="P4" s="200" t="e">
        <f t="shared" si="4"/>
        <v>#REF!</v>
      </c>
      <c r="T4" s="200"/>
    </row>
    <row r="5" spans="1:20" ht="17.25" customHeight="1" outlineLevel="1" x14ac:dyDescent="0.25">
      <c r="A5" s="199"/>
      <c r="B5" s="216">
        <v>426</v>
      </c>
      <c r="C5" s="217" t="e">
        <f>#REF!</f>
        <v>#REF!</v>
      </c>
      <c r="D5" s="201" t="e">
        <f>#REF!</f>
        <v>#REF!</v>
      </c>
      <c r="E5" s="201" t="e">
        <f>#REF!</f>
        <v>#REF!</v>
      </c>
      <c r="F5" s="201" t="e">
        <f>C5-E5</f>
        <v>#REF!</v>
      </c>
      <c r="G5" s="201" t="e">
        <f>D5-E5</f>
        <v>#REF!</v>
      </c>
      <c r="H5" s="218">
        <v>20902837.872000001</v>
      </c>
      <c r="I5" s="201" t="e">
        <f>#REF!</f>
        <v>#REF!</v>
      </c>
      <c r="J5" s="201" t="e">
        <f>#REF!</f>
        <v>#REF!</v>
      </c>
      <c r="K5" s="201" t="e">
        <f>#REF!</f>
        <v>#REF!</v>
      </c>
      <c r="L5" s="201" t="e">
        <f>#REF!</f>
        <v>#REF!</v>
      </c>
      <c r="M5" s="207" t="e">
        <f t="shared" si="1"/>
        <v>#REF!</v>
      </c>
      <c r="N5" s="207" t="e">
        <f t="shared" si="2"/>
        <v>#REF!</v>
      </c>
      <c r="O5" s="207" t="e">
        <f t="shared" si="3"/>
        <v>#REF!</v>
      </c>
      <c r="P5" s="200" t="e">
        <f t="shared" si="4"/>
        <v>#REF!</v>
      </c>
    </row>
    <row r="6" spans="1:20" ht="17.25" customHeight="1" outlineLevel="1" x14ac:dyDescent="0.25">
      <c r="A6" s="199"/>
      <c r="B6" s="216">
        <v>427</v>
      </c>
      <c r="C6" s="217" t="e">
        <f>#REF!</f>
        <v>#REF!</v>
      </c>
      <c r="D6" s="201" t="e">
        <f>#REF!</f>
        <v>#REF!</v>
      </c>
      <c r="E6" s="201" t="e">
        <f>#REF!</f>
        <v>#REF!</v>
      </c>
      <c r="F6" s="201" t="e">
        <f>C6-E6</f>
        <v>#REF!</v>
      </c>
      <c r="G6" s="201" t="e">
        <f>D6-E6</f>
        <v>#REF!</v>
      </c>
      <c r="H6" s="218">
        <v>28921288.175999999</v>
      </c>
      <c r="I6" s="201" t="e">
        <f>#REF!</f>
        <v>#REF!</v>
      </c>
      <c r="J6" s="201" t="e">
        <f>#REF!</f>
        <v>#REF!</v>
      </c>
      <c r="K6" s="201" t="e">
        <f>#REF!</f>
        <v>#REF!</v>
      </c>
      <c r="L6" s="201" t="e">
        <f>#REF!</f>
        <v>#REF!</v>
      </c>
      <c r="M6" s="207" t="e">
        <f t="shared" si="1"/>
        <v>#REF!</v>
      </c>
      <c r="N6" s="207" t="e">
        <f t="shared" si="2"/>
        <v>#REF!</v>
      </c>
      <c r="O6" s="207" t="e">
        <f t="shared" si="3"/>
        <v>#REF!</v>
      </c>
      <c r="P6" s="200" t="e">
        <f t="shared" si="4"/>
        <v>#REF!</v>
      </c>
    </row>
    <row r="7" spans="1:20" ht="17.25" customHeight="1" outlineLevel="1" x14ac:dyDescent="0.25">
      <c r="A7" s="199"/>
      <c r="B7" s="216">
        <v>429</v>
      </c>
      <c r="C7" s="217" t="e">
        <f>#REF!</f>
        <v>#REF!</v>
      </c>
      <c r="D7" s="217" t="e">
        <f>#REF!</f>
        <v>#REF!</v>
      </c>
      <c r="E7" s="198" t="e">
        <f>#REF!</f>
        <v>#REF!</v>
      </c>
      <c r="F7" s="201" t="e">
        <f>C7-E7</f>
        <v>#REF!</v>
      </c>
      <c r="G7" s="201" t="e">
        <f>D7-E7</f>
        <v>#REF!</v>
      </c>
      <c r="H7" s="218">
        <v>679376550.53999996</v>
      </c>
      <c r="I7" s="201" t="s">
        <v>3055</v>
      </c>
      <c r="J7" s="201" t="e">
        <f>#REF!</f>
        <v>#REF!</v>
      </c>
      <c r="K7" s="201" t="e">
        <f>#REF!</f>
        <v>#REF!</v>
      </c>
      <c r="L7" s="201" t="e">
        <f>#REF!</f>
        <v>#REF!</v>
      </c>
      <c r="M7" s="207" t="e">
        <f t="shared" si="1"/>
        <v>#REF!</v>
      </c>
      <c r="N7" s="207" t="e">
        <f t="shared" si="2"/>
        <v>#REF!</v>
      </c>
      <c r="O7" s="207" t="e">
        <f t="shared" si="3"/>
        <v>#REF!</v>
      </c>
      <c r="P7" s="200" t="e">
        <f t="shared" si="4"/>
        <v>#REF!</v>
      </c>
      <c r="S7" s="200"/>
    </row>
    <row r="8" spans="1:20" ht="17.25" customHeight="1" x14ac:dyDescent="0.25">
      <c r="A8" s="212" t="s">
        <v>24</v>
      </c>
      <c r="B8" s="213"/>
      <c r="C8" s="214" t="e">
        <f t="shared" ref="C8:H8" si="5">SUM(C9:C12)</f>
        <v>#REF!</v>
      </c>
      <c r="D8" s="214" t="e">
        <f t="shared" si="5"/>
        <v>#REF!</v>
      </c>
      <c r="E8" s="214" t="e">
        <f t="shared" si="5"/>
        <v>#REF!</v>
      </c>
      <c r="F8" s="214" t="e">
        <f t="shared" si="5"/>
        <v>#REF!</v>
      </c>
      <c r="G8" s="214" t="e">
        <f t="shared" si="5"/>
        <v>#REF!</v>
      </c>
      <c r="H8" s="215">
        <f t="shared" si="5"/>
        <v>1711817665.3470004</v>
      </c>
      <c r="I8" s="214" t="e">
        <f>SUM(I9:I12)</f>
        <v>#REF!</v>
      </c>
      <c r="J8" s="214" t="e">
        <f>SUM(J9:J12)</f>
        <v>#REF!</v>
      </c>
      <c r="K8" s="214" t="e">
        <f>SUM(K9:K12)</f>
        <v>#REF!</v>
      </c>
      <c r="L8" s="214" t="e">
        <f>SUM(L9:L12)</f>
        <v>#REF!</v>
      </c>
      <c r="M8" s="207" t="e">
        <f t="shared" si="1"/>
        <v>#REF!</v>
      </c>
      <c r="N8" s="207" t="e">
        <f t="shared" si="2"/>
        <v>#REF!</v>
      </c>
      <c r="O8" s="207" t="e">
        <f t="shared" si="3"/>
        <v>#REF!</v>
      </c>
      <c r="P8" s="200" t="e">
        <f t="shared" si="4"/>
        <v>#REF!</v>
      </c>
      <c r="R8" s="200"/>
    </row>
    <row r="9" spans="1:20" ht="17.25" customHeight="1" outlineLevel="1" x14ac:dyDescent="0.25">
      <c r="A9" s="199"/>
      <c r="B9" s="216">
        <v>424</v>
      </c>
      <c r="C9" s="201" t="e">
        <f>#REF!</f>
        <v>#REF!</v>
      </c>
      <c r="D9" s="201" t="e">
        <f>#REF!</f>
        <v>#REF!</v>
      </c>
      <c r="E9" s="201" t="e">
        <f>#REF!</f>
        <v>#REF!</v>
      </c>
      <c r="F9" s="201" t="e">
        <f>C9-E9</f>
        <v>#REF!</v>
      </c>
      <c r="G9" s="201" t="e">
        <f>D9-E9</f>
        <v>#REF!</v>
      </c>
      <c r="H9" s="219">
        <v>98881332.638000011</v>
      </c>
      <c r="I9" s="201" t="s">
        <v>3055</v>
      </c>
      <c r="J9" s="201" t="e">
        <f>#REF!</f>
        <v>#REF!</v>
      </c>
      <c r="K9" s="201" t="e">
        <f>#REF!</f>
        <v>#REF!</v>
      </c>
      <c r="L9" s="201" t="e">
        <f>#REF!</f>
        <v>#REF!</v>
      </c>
      <c r="M9" s="207" t="e">
        <f t="shared" si="1"/>
        <v>#REF!</v>
      </c>
      <c r="N9" s="207" t="e">
        <f t="shared" si="2"/>
        <v>#REF!</v>
      </c>
      <c r="O9" s="207" t="e">
        <f t="shared" si="3"/>
        <v>#REF!</v>
      </c>
      <c r="P9" s="200" t="e">
        <f t="shared" si="4"/>
        <v>#REF!</v>
      </c>
      <c r="S9" s="200"/>
    </row>
    <row r="10" spans="1:20" ht="17.25" customHeight="1" outlineLevel="1" x14ac:dyDescent="0.25">
      <c r="A10" s="199"/>
      <c r="B10" s="216">
        <v>426</v>
      </c>
      <c r="C10" s="201" t="e">
        <f>#REF!</f>
        <v>#REF!</v>
      </c>
      <c r="D10" s="201" t="e">
        <f>#REF!</f>
        <v>#REF!</v>
      </c>
      <c r="E10" s="201" t="e">
        <f>#REF!</f>
        <v>#REF!</v>
      </c>
      <c r="F10" s="201" t="e">
        <f>C10-E10</f>
        <v>#REF!</v>
      </c>
      <c r="G10" s="201" t="e">
        <f>D10-E10</f>
        <v>#REF!</v>
      </c>
      <c r="H10" s="219">
        <v>278732338.00799996</v>
      </c>
      <c r="I10" s="201" t="e">
        <f>#REF!</f>
        <v>#REF!</v>
      </c>
      <c r="J10" s="201" t="e">
        <f>#REF!</f>
        <v>#REF!</v>
      </c>
      <c r="K10" s="201" t="e">
        <f>#REF!</f>
        <v>#REF!</v>
      </c>
      <c r="L10" s="201" t="e">
        <f>#REF!</f>
        <v>#REF!</v>
      </c>
      <c r="M10" s="207" t="e">
        <f t="shared" si="1"/>
        <v>#REF!</v>
      </c>
      <c r="N10" s="207" t="e">
        <f t="shared" si="2"/>
        <v>#REF!</v>
      </c>
      <c r="O10" s="207" t="e">
        <f t="shared" si="3"/>
        <v>#REF!</v>
      </c>
      <c r="P10" s="200" t="e">
        <f t="shared" si="4"/>
        <v>#REF!</v>
      </c>
    </row>
    <row r="11" spans="1:20" ht="17.25" customHeight="1" outlineLevel="1" x14ac:dyDescent="0.25">
      <c r="A11" s="199"/>
      <c r="B11" s="216">
        <v>427</v>
      </c>
      <c r="C11" s="201" t="e">
        <f>#REF!</f>
        <v>#REF!</v>
      </c>
      <c r="D11" s="201" t="e">
        <f>#REF!</f>
        <v>#REF!</v>
      </c>
      <c r="E11" s="201" t="e">
        <f>#REF!</f>
        <v>#REF!</v>
      </c>
      <c r="F11" s="201" t="e">
        <f>C11-E11</f>
        <v>#REF!</v>
      </c>
      <c r="G11" s="201" t="e">
        <f>D11-E11</f>
        <v>#REF!</v>
      </c>
      <c r="H11" s="219">
        <v>135417328.90000001</v>
      </c>
      <c r="I11" s="201" t="e">
        <f>#REF!</f>
        <v>#REF!</v>
      </c>
      <c r="J11" s="201" t="e">
        <f>#REF!</f>
        <v>#REF!</v>
      </c>
      <c r="K11" s="201" t="e">
        <f>#REF!</f>
        <v>#REF!</v>
      </c>
      <c r="L11" s="201" t="e">
        <f>#REF!</f>
        <v>#REF!</v>
      </c>
      <c r="M11" s="207" t="e">
        <f t="shared" si="1"/>
        <v>#REF!</v>
      </c>
      <c r="N11" s="207" t="e">
        <f t="shared" si="2"/>
        <v>#REF!</v>
      </c>
      <c r="O11" s="207" t="e">
        <f t="shared" si="3"/>
        <v>#REF!</v>
      </c>
      <c r="P11" s="200" t="e">
        <f t="shared" si="4"/>
        <v>#REF!</v>
      </c>
    </row>
    <row r="12" spans="1:20" ht="17.25" customHeight="1" outlineLevel="1" x14ac:dyDescent="0.25">
      <c r="A12" s="199"/>
      <c r="B12" s="216">
        <v>429</v>
      </c>
      <c r="C12" s="201" t="e">
        <f>#REF!</f>
        <v>#REF!</v>
      </c>
      <c r="D12" s="201" t="e">
        <f>#REF!</f>
        <v>#REF!</v>
      </c>
      <c r="E12" s="201" t="e">
        <f>#REF!</f>
        <v>#REF!</v>
      </c>
      <c r="F12" s="201" t="e">
        <f>C12-E12</f>
        <v>#REF!</v>
      </c>
      <c r="G12" s="201" t="e">
        <f>D12-E12</f>
        <v>#REF!</v>
      </c>
      <c r="H12" s="219">
        <v>1198786665.8010004</v>
      </c>
      <c r="I12" s="201"/>
      <c r="J12" s="201" t="e">
        <f>#REF!</f>
        <v>#REF!</v>
      </c>
      <c r="K12" s="201" t="e">
        <f>#REF!</f>
        <v>#REF!</v>
      </c>
      <c r="L12" s="201" t="e">
        <f>#REF!</f>
        <v>#REF!</v>
      </c>
      <c r="M12" s="207" t="e">
        <f t="shared" si="1"/>
        <v>#REF!</v>
      </c>
      <c r="N12" s="207" t="e">
        <f t="shared" si="2"/>
        <v>#REF!</v>
      </c>
      <c r="O12" s="207" t="e">
        <f t="shared" si="3"/>
        <v>#REF!</v>
      </c>
      <c r="P12" s="200" t="e">
        <f t="shared" si="4"/>
        <v>#REF!</v>
      </c>
    </row>
    <row r="13" spans="1:20" ht="17.25" customHeight="1" x14ac:dyDescent="0.25">
      <c r="A13" s="212" t="s">
        <v>12</v>
      </c>
      <c r="B13" s="213"/>
      <c r="C13" s="220" t="e">
        <f t="shared" ref="C13:H13" si="6">SUM(C14:C17)</f>
        <v>#REF!</v>
      </c>
      <c r="D13" s="220" t="e">
        <f t="shared" si="6"/>
        <v>#REF!</v>
      </c>
      <c r="E13" s="220" t="e">
        <f t="shared" si="6"/>
        <v>#REF!</v>
      </c>
      <c r="F13" s="220" t="e">
        <f t="shared" si="6"/>
        <v>#REF!</v>
      </c>
      <c r="G13" s="220" t="e">
        <f t="shared" si="6"/>
        <v>#REF!</v>
      </c>
      <c r="H13" s="221">
        <f t="shared" si="6"/>
        <v>1884684125.6580005</v>
      </c>
      <c r="I13" s="220" t="e">
        <f>SUM(I14:I17)</f>
        <v>#REF!</v>
      </c>
      <c r="J13" s="220" t="e">
        <f>SUM(J14:J17)</f>
        <v>#REF!</v>
      </c>
      <c r="K13" s="220" t="e">
        <f>SUM(K14:K17)</f>
        <v>#REF!</v>
      </c>
      <c r="L13" s="220" t="e">
        <f>SUM(L14:L17)</f>
        <v>#REF!</v>
      </c>
      <c r="M13" s="207" t="e">
        <f t="shared" si="1"/>
        <v>#REF!</v>
      </c>
      <c r="N13" s="207" t="e">
        <f t="shared" si="2"/>
        <v>#REF!</v>
      </c>
      <c r="O13" s="207" t="e">
        <f t="shared" si="3"/>
        <v>#REF!</v>
      </c>
      <c r="P13" s="200" t="e">
        <f t="shared" si="4"/>
        <v>#REF!</v>
      </c>
      <c r="R13" s="200"/>
      <c r="S13" s="200"/>
    </row>
    <row r="14" spans="1:20" ht="17.25" customHeight="1" outlineLevel="1" x14ac:dyDescent="0.25">
      <c r="A14" s="199"/>
      <c r="B14" s="216">
        <v>424</v>
      </c>
      <c r="C14" s="201" t="e">
        <f>#REF!</f>
        <v>#REF!</v>
      </c>
      <c r="D14" s="201" t="e">
        <f>#REF!</f>
        <v>#REF!</v>
      </c>
      <c r="E14" s="201" t="e">
        <f>#REF!</f>
        <v>#REF!</v>
      </c>
      <c r="F14" s="201" t="e">
        <f>C14-E14</f>
        <v>#REF!</v>
      </c>
      <c r="G14" s="201" t="e">
        <f>D14-E14</f>
        <v>#REF!</v>
      </c>
      <c r="H14" s="218">
        <v>54547288.452000007</v>
      </c>
      <c r="I14" s="201" t="s">
        <v>3055</v>
      </c>
      <c r="J14" s="201" t="e">
        <f>#REF!</f>
        <v>#REF!</v>
      </c>
      <c r="K14" s="201" t="e">
        <f>#REF!</f>
        <v>#REF!</v>
      </c>
      <c r="L14" s="201" t="e">
        <f>#REF!</f>
        <v>#REF!</v>
      </c>
      <c r="M14" s="207" t="e">
        <f t="shared" si="1"/>
        <v>#REF!</v>
      </c>
      <c r="N14" s="207" t="e">
        <f t="shared" si="2"/>
        <v>#REF!</v>
      </c>
      <c r="O14" s="207" t="e">
        <f t="shared" si="3"/>
        <v>#REF!</v>
      </c>
      <c r="P14" s="200" t="e">
        <f t="shared" si="4"/>
        <v>#REF!</v>
      </c>
    </row>
    <row r="15" spans="1:20" ht="17.25" customHeight="1" outlineLevel="1" x14ac:dyDescent="0.25">
      <c r="A15" s="199"/>
      <c r="B15" s="216">
        <v>426</v>
      </c>
      <c r="C15" s="201" t="e">
        <f>#REF!</f>
        <v>#REF!</v>
      </c>
      <c r="D15" s="201" t="e">
        <f>#REF!</f>
        <v>#REF!</v>
      </c>
      <c r="E15" s="201" t="e">
        <f>#REF!</f>
        <v>#REF!</v>
      </c>
      <c r="F15" s="201" t="e">
        <f>C15-E15</f>
        <v>#REF!</v>
      </c>
      <c r="G15" s="201" t="e">
        <f>D15-E15</f>
        <v>#REF!</v>
      </c>
      <c r="H15" s="218">
        <v>250652791.01399997</v>
      </c>
      <c r="I15" s="201" t="e">
        <f>#REF!</f>
        <v>#REF!</v>
      </c>
      <c r="J15" s="201" t="e">
        <f>#REF!</f>
        <v>#REF!</v>
      </c>
      <c r="K15" s="201" t="e">
        <f>#REF!</f>
        <v>#REF!</v>
      </c>
      <c r="L15" s="201" t="e">
        <f>#REF!</f>
        <v>#REF!</v>
      </c>
      <c r="M15" s="207" t="e">
        <f t="shared" si="1"/>
        <v>#REF!</v>
      </c>
      <c r="N15" s="207" t="e">
        <f t="shared" si="2"/>
        <v>#REF!</v>
      </c>
      <c r="O15" s="207" t="e">
        <f t="shared" si="3"/>
        <v>#REF!</v>
      </c>
      <c r="P15" s="200" t="e">
        <f t="shared" si="4"/>
        <v>#REF!</v>
      </c>
    </row>
    <row r="16" spans="1:20" ht="17.25" customHeight="1" outlineLevel="1" x14ac:dyDescent="0.25">
      <c r="A16" s="199"/>
      <c r="B16" s="216">
        <v>427</v>
      </c>
      <c r="C16" s="201" t="e">
        <f>#REF!</f>
        <v>#REF!</v>
      </c>
      <c r="D16" s="201" t="e">
        <f>#REF!</f>
        <v>#REF!</v>
      </c>
      <c r="E16" s="201" t="e">
        <f>#REF!</f>
        <v>#REF!</v>
      </c>
      <c r="F16" s="201" t="e">
        <f>C16-E16</f>
        <v>#REF!</v>
      </c>
      <c r="G16" s="201" t="e">
        <f>D16-E16</f>
        <v>#REF!</v>
      </c>
      <c r="H16" s="218">
        <v>250054207.70400003</v>
      </c>
      <c r="I16" s="201" t="e">
        <f>#REF!</f>
        <v>#REF!</v>
      </c>
      <c r="J16" s="201" t="e">
        <f>#REF!</f>
        <v>#REF!</v>
      </c>
      <c r="K16" s="201" t="e">
        <f>#REF!</f>
        <v>#REF!</v>
      </c>
      <c r="L16" s="201" t="e">
        <f>#REF!</f>
        <v>#REF!</v>
      </c>
      <c r="M16" s="207" t="e">
        <f t="shared" si="1"/>
        <v>#REF!</v>
      </c>
      <c r="N16" s="207" t="e">
        <f t="shared" si="2"/>
        <v>#REF!</v>
      </c>
      <c r="O16" s="207" t="e">
        <f t="shared" si="3"/>
        <v>#REF!</v>
      </c>
      <c r="P16" s="200" t="e">
        <f t="shared" si="4"/>
        <v>#REF!</v>
      </c>
    </row>
    <row r="17" spans="1:19" ht="17.25" customHeight="1" outlineLevel="1" x14ac:dyDescent="0.25">
      <c r="A17" s="199"/>
      <c r="B17" s="216">
        <v>429</v>
      </c>
      <c r="C17" s="201" t="e">
        <f>#REF!</f>
        <v>#REF!</v>
      </c>
      <c r="D17" s="201" t="e">
        <f>#REF!</f>
        <v>#REF!</v>
      </c>
      <c r="E17" s="201" t="e">
        <f>#REF!</f>
        <v>#REF!</v>
      </c>
      <c r="F17" s="201" t="e">
        <f>C17-E17</f>
        <v>#REF!</v>
      </c>
      <c r="G17" s="201" t="e">
        <f>D17-E17</f>
        <v>#REF!</v>
      </c>
      <c r="H17" s="218">
        <v>1329429838.4880004</v>
      </c>
      <c r="I17" s="201"/>
      <c r="J17" s="201" t="e">
        <f>#REF!</f>
        <v>#REF!</v>
      </c>
      <c r="K17" s="201" t="e">
        <f>#REF!</f>
        <v>#REF!</v>
      </c>
      <c r="L17" s="201" t="e">
        <f>#REF!</f>
        <v>#REF!</v>
      </c>
      <c r="M17" s="207" t="e">
        <f t="shared" si="1"/>
        <v>#REF!</v>
      </c>
      <c r="N17" s="207" t="e">
        <f t="shared" si="2"/>
        <v>#REF!</v>
      </c>
      <c r="O17" s="207" t="e">
        <f t="shared" si="3"/>
        <v>#REF!</v>
      </c>
      <c r="P17" s="200" t="e">
        <f t="shared" si="4"/>
        <v>#REF!</v>
      </c>
    </row>
    <row r="18" spans="1:19" ht="17.25" customHeight="1" x14ac:dyDescent="0.25">
      <c r="A18" s="212" t="s">
        <v>40</v>
      </c>
      <c r="B18" s="213"/>
      <c r="C18" s="220" t="e">
        <f t="shared" ref="C18:L18" si="7">SUM(C19:C22)</f>
        <v>#REF!</v>
      </c>
      <c r="D18" s="220" t="e">
        <f t="shared" si="7"/>
        <v>#REF!</v>
      </c>
      <c r="E18" s="220" t="e">
        <f t="shared" si="7"/>
        <v>#REF!</v>
      </c>
      <c r="F18" s="220" t="e">
        <f t="shared" si="7"/>
        <v>#REF!</v>
      </c>
      <c r="G18" s="220" t="e">
        <f t="shared" si="7"/>
        <v>#REF!</v>
      </c>
      <c r="H18" s="220">
        <f t="shared" si="7"/>
        <v>55380542.84013655</v>
      </c>
      <c r="I18" s="220" t="e">
        <f t="shared" si="7"/>
        <v>#REF!</v>
      </c>
      <c r="J18" s="220" t="e">
        <f>SUM(J19:J22)</f>
        <v>#REF!</v>
      </c>
      <c r="K18" s="220" t="e">
        <f t="shared" si="7"/>
        <v>#REF!</v>
      </c>
      <c r="L18" s="220" t="e">
        <f t="shared" si="7"/>
        <v>#REF!</v>
      </c>
      <c r="M18" s="207" t="e">
        <f t="shared" si="1"/>
        <v>#REF!</v>
      </c>
      <c r="N18" s="207" t="e">
        <f t="shared" si="2"/>
        <v>#REF!</v>
      </c>
      <c r="O18" s="207" t="e">
        <f t="shared" si="3"/>
        <v>#REF!</v>
      </c>
      <c r="P18" s="200" t="e">
        <f t="shared" si="4"/>
        <v>#REF!</v>
      </c>
      <c r="S18" s="200"/>
    </row>
    <row r="19" spans="1:19" ht="17.25" customHeight="1" outlineLevel="1" x14ac:dyDescent="0.25">
      <c r="A19" s="199"/>
      <c r="B19" s="216">
        <v>424</v>
      </c>
      <c r="C19" s="201" t="e">
        <f>#REF!</f>
        <v>#REF!</v>
      </c>
      <c r="D19" s="201" t="e">
        <f>#REF!</f>
        <v>#REF!</v>
      </c>
      <c r="E19" s="201" t="e">
        <f>#REF!</f>
        <v>#REF!</v>
      </c>
      <c r="F19" s="201" t="e">
        <f>C19-E19</f>
        <v>#REF!</v>
      </c>
      <c r="G19" s="201" t="e">
        <f>D19-E19</f>
        <v>#REF!</v>
      </c>
      <c r="H19" s="219">
        <v>2149787.2760000001</v>
      </c>
      <c r="I19" s="201"/>
      <c r="J19" s="201" t="e">
        <f>#REF!</f>
        <v>#REF!</v>
      </c>
      <c r="K19" s="201" t="e">
        <f>#REF!</f>
        <v>#REF!</v>
      </c>
      <c r="L19" s="201" t="e">
        <f>#REF!</f>
        <v>#REF!</v>
      </c>
      <c r="M19" s="207" t="e">
        <f t="shared" si="1"/>
        <v>#REF!</v>
      </c>
      <c r="N19" s="207" t="e">
        <f t="shared" si="2"/>
        <v>#REF!</v>
      </c>
      <c r="O19" s="207" t="e">
        <f t="shared" si="3"/>
        <v>#REF!</v>
      </c>
      <c r="P19" s="200" t="e">
        <f t="shared" si="4"/>
        <v>#REF!</v>
      </c>
    </row>
    <row r="20" spans="1:19" ht="17.25" customHeight="1" outlineLevel="1" x14ac:dyDescent="0.25">
      <c r="A20" s="199"/>
      <c r="B20" s="216">
        <v>426</v>
      </c>
      <c r="C20" s="201" t="e">
        <f>#REF!</f>
        <v>#REF!</v>
      </c>
      <c r="D20" s="201" t="e">
        <f>#REF!</f>
        <v>#REF!</v>
      </c>
      <c r="E20" s="201" t="e">
        <f>#REF!</f>
        <v>#REF!</v>
      </c>
      <c r="F20" s="201" t="e">
        <f>C20-E20</f>
        <v>#REF!</v>
      </c>
      <c r="G20" s="201" t="e">
        <f>D20-E20</f>
        <v>#REF!</v>
      </c>
      <c r="H20" s="222"/>
      <c r="I20" s="201" t="e">
        <f>#REF!</f>
        <v>#REF!</v>
      </c>
      <c r="J20" s="201" t="e">
        <f>#REF!</f>
        <v>#REF!</v>
      </c>
      <c r="K20" s="201" t="e">
        <f>#REF!</f>
        <v>#REF!</v>
      </c>
      <c r="L20" s="201" t="e">
        <f>#REF!</f>
        <v>#REF!</v>
      </c>
      <c r="M20" s="207" t="e">
        <f t="shared" si="1"/>
        <v>#REF!</v>
      </c>
      <c r="N20" s="207" t="e">
        <f t="shared" si="2"/>
        <v>#REF!</v>
      </c>
      <c r="O20" s="207" t="e">
        <f t="shared" si="3"/>
        <v>#REF!</v>
      </c>
      <c r="P20" s="200" t="e">
        <f t="shared" si="4"/>
        <v>#REF!</v>
      </c>
    </row>
    <row r="21" spans="1:19" ht="17.25" customHeight="1" outlineLevel="1" x14ac:dyDescent="0.25">
      <c r="A21" s="199"/>
      <c r="B21" s="216">
        <v>427</v>
      </c>
      <c r="C21" s="217" t="e">
        <f>#REF!</f>
        <v>#REF!</v>
      </c>
      <c r="D21" s="201" t="e">
        <f>#REF!</f>
        <v>#REF!</v>
      </c>
      <c r="E21" s="201" t="e">
        <f>#REF!</f>
        <v>#REF!</v>
      </c>
      <c r="F21" s="201" t="e">
        <f>C21-E21</f>
        <v>#REF!</v>
      </c>
      <c r="G21" s="201" t="e">
        <f>D21-E21</f>
        <v>#REF!</v>
      </c>
      <c r="H21" s="219">
        <v>13066777.950636549</v>
      </c>
      <c r="I21" s="201" t="e">
        <f>#REF!</f>
        <v>#REF!</v>
      </c>
      <c r="J21" s="201" t="e">
        <f>#REF!</f>
        <v>#REF!</v>
      </c>
      <c r="K21" s="201" t="e">
        <f>#REF!</f>
        <v>#REF!</v>
      </c>
      <c r="L21" s="201" t="e">
        <f>#REF!</f>
        <v>#REF!</v>
      </c>
      <c r="M21" s="207" t="e">
        <f t="shared" si="1"/>
        <v>#REF!</v>
      </c>
      <c r="N21" s="207" t="e">
        <f t="shared" si="2"/>
        <v>#REF!</v>
      </c>
      <c r="O21" s="207" t="e">
        <f t="shared" si="3"/>
        <v>#REF!</v>
      </c>
      <c r="P21" s="200" t="e">
        <f t="shared" si="4"/>
        <v>#REF!</v>
      </c>
    </row>
    <row r="22" spans="1:19" ht="17.25" customHeight="1" outlineLevel="1" x14ac:dyDescent="0.25">
      <c r="A22" s="199"/>
      <c r="B22" s="216">
        <v>429</v>
      </c>
      <c r="C22" s="201" t="e">
        <f>#REF!</f>
        <v>#REF!</v>
      </c>
      <c r="D22" s="201" t="e">
        <f>#REF!</f>
        <v>#REF!</v>
      </c>
      <c r="E22" s="201" t="e">
        <f>#REF!</f>
        <v>#REF!</v>
      </c>
      <c r="F22" s="201" t="e">
        <f>C22-E22</f>
        <v>#REF!</v>
      </c>
      <c r="G22" s="201" t="e">
        <f>D22-E22</f>
        <v>#REF!</v>
      </c>
      <c r="H22" s="219">
        <v>40163977.613499999</v>
      </c>
      <c r="I22" s="201"/>
      <c r="J22" s="201" t="e">
        <f>#REF!</f>
        <v>#REF!</v>
      </c>
      <c r="K22" s="201" t="e">
        <f>#REF!</f>
        <v>#REF!</v>
      </c>
      <c r="L22" s="201" t="e">
        <f>#REF!</f>
        <v>#REF!</v>
      </c>
      <c r="M22" s="207" t="e">
        <f t="shared" si="1"/>
        <v>#REF!</v>
      </c>
      <c r="N22" s="207" t="e">
        <f t="shared" si="2"/>
        <v>#REF!</v>
      </c>
      <c r="O22" s="207" t="e">
        <f t="shared" si="3"/>
        <v>#REF!</v>
      </c>
      <c r="P22" s="200" t="e">
        <f t="shared" si="4"/>
        <v>#REF!</v>
      </c>
    </row>
    <row r="23" spans="1:19" ht="17.25" customHeight="1" x14ac:dyDescent="0.25">
      <c r="A23" s="212" t="s">
        <v>30</v>
      </c>
      <c r="B23" s="213"/>
      <c r="C23" s="220" t="e">
        <f t="shared" ref="C23:H23" si="8">SUM(C24:C27)</f>
        <v>#REF!</v>
      </c>
      <c r="D23" s="220" t="e">
        <f t="shared" si="8"/>
        <v>#REF!</v>
      </c>
      <c r="E23" s="220" t="e">
        <f t="shared" si="8"/>
        <v>#REF!</v>
      </c>
      <c r="F23" s="220" t="e">
        <f t="shared" si="8"/>
        <v>#REF!</v>
      </c>
      <c r="G23" s="220" t="e">
        <f t="shared" si="8"/>
        <v>#REF!</v>
      </c>
      <c r="H23" s="221">
        <f t="shared" si="8"/>
        <v>20114243.683840003</v>
      </c>
      <c r="I23" s="220" t="e">
        <f>SUM(I24:I27)</f>
        <v>#REF!</v>
      </c>
      <c r="J23" s="220" t="e">
        <f>SUM(J24:J27)</f>
        <v>#REF!</v>
      </c>
      <c r="K23" s="220" t="e">
        <f>SUM(K24:K27)</f>
        <v>#REF!</v>
      </c>
      <c r="L23" s="220" t="e">
        <f>SUM(L24:L27)</f>
        <v>#REF!</v>
      </c>
      <c r="M23" s="207" t="e">
        <f t="shared" si="1"/>
        <v>#REF!</v>
      </c>
      <c r="N23" s="207" t="e">
        <f t="shared" si="2"/>
        <v>#REF!</v>
      </c>
      <c r="O23" s="207" t="e">
        <f t="shared" si="3"/>
        <v>#REF!</v>
      </c>
      <c r="P23" s="200" t="e">
        <f t="shared" si="4"/>
        <v>#REF!</v>
      </c>
      <c r="R23" s="200"/>
      <c r="S23" s="200"/>
    </row>
    <row r="24" spans="1:19" ht="17.25" customHeight="1" outlineLevel="1" x14ac:dyDescent="0.25">
      <c r="A24" s="199"/>
      <c r="B24" s="216">
        <v>424</v>
      </c>
      <c r="C24" s="201" t="s">
        <v>3055</v>
      </c>
      <c r="D24" s="201" t="s">
        <v>3055</v>
      </c>
      <c r="E24" s="201" t="s">
        <v>3055</v>
      </c>
      <c r="F24" s="201" t="s">
        <v>3055</v>
      </c>
      <c r="G24" s="201" t="s">
        <v>3055</v>
      </c>
      <c r="H24" s="222"/>
      <c r="I24" s="201" t="s">
        <v>3055</v>
      </c>
      <c r="J24" s="201" t="s">
        <v>3055</v>
      </c>
      <c r="K24" s="201" t="s">
        <v>3055</v>
      </c>
      <c r="L24" s="201" t="s">
        <v>3055</v>
      </c>
      <c r="M24" s="207" t="e">
        <f t="shared" si="1"/>
        <v>#VALUE!</v>
      </c>
      <c r="N24" s="207" t="e">
        <f t="shared" si="2"/>
        <v>#VALUE!</v>
      </c>
      <c r="O24" s="207" t="e">
        <f t="shared" si="3"/>
        <v>#VALUE!</v>
      </c>
      <c r="P24" s="200" t="e">
        <f t="shared" si="4"/>
        <v>#VALUE!</v>
      </c>
    </row>
    <row r="25" spans="1:19" ht="17.25" customHeight="1" outlineLevel="1" x14ac:dyDescent="0.25">
      <c r="A25" s="199"/>
      <c r="B25" s="216">
        <v>426</v>
      </c>
      <c r="C25" s="217" t="e">
        <f>#REF!</f>
        <v>#REF!</v>
      </c>
      <c r="D25" s="217" t="e">
        <f>#REF!</f>
        <v>#REF!</v>
      </c>
      <c r="E25" s="217" t="e">
        <f>#REF!</f>
        <v>#REF!</v>
      </c>
      <c r="F25" s="217" t="e">
        <f>C25-E25</f>
        <v>#REF!</v>
      </c>
      <c r="G25" s="201" t="e">
        <f>D25-E25</f>
        <v>#REF!</v>
      </c>
      <c r="H25" s="219">
        <v>517757.99200000003</v>
      </c>
      <c r="I25" s="201" t="e">
        <f>#REF!</f>
        <v>#REF!</v>
      </c>
      <c r="J25" s="201" t="e">
        <f>#REF!</f>
        <v>#REF!</v>
      </c>
      <c r="K25" s="201" t="e">
        <f>#REF!</f>
        <v>#REF!</v>
      </c>
      <c r="L25" s="201" t="e">
        <f>#REF!</f>
        <v>#REF!</v>
      </c>
      <c r="M25" s="207" t="e">
        <f t="shared" si="1"/>
        <v>#REF!</v>
      </c>
      <c r="N25" s="207" t="e">
        <f t="shared" si="2"/>
        <v>#REF!</v>
      </c>
      <c r="O25" s="207" t="e">
        <f t="shared" si="3"/>
        <v>#REF!</v>
      </c>
      <c r="P25" s="200" t="e">
        <f t="shared" si="4"/>
        <v>#REF!</v>
      </c>
    </row>
    <row r="26" spans="1:19" ht="17.25" customHeight="1" outlineLevel="1" x14ac:dyDescent="0.25">
      <c r="A26" s="199"/>
      <c r="B26" s="216">
        <v>427</v>
      </c>
      <c r="C26" s="217" t="e">
        <f>#REF!</f>
        <v>#REF!</v>
      </c>
      <c r="D26" s="217" t="e">
        <f>#REF!</f>
        <v>#REF!</v>
      </c>
      <c r="E26" s="217" t="e">
        <f>#REF!</f>
        <v>#REF!</v>
      </c>
      <c r="F26" s="217" t="e">
        <f>C26-E26</f>
        <v>#REF!</v>
      </c>
      <c r="G26" s="201" t="e">
        <f>D26-E26</f>
        <v>#REF!</v>
      </c>
      <c r="H26" s="219">
        <v>14740936.803840002</v>
      </c>
      <c r="I26" s="201" t="e">
        <f>#REF!</f>
        <v>#REF!</v>
      </c>
      <c r="J26" s="201" t="e">
        <f>#REF!</f>
        <v>#REF!</v>
      </c>
      <c r="K26" s="201" t="e">
        <f>#REF!</f>
        <v>#REF!</v>
      </c>
      <c r="L26" s="201" t="e">
        <f>#REF!</f>
        <v>#REF!</v>
      </c>
      <c r="M26" s="207" t="e">
        <f t="shared" si="1"/>
        <v>#REF!</v>
      </c>
      <c r="N26" s="207" t="e">
        <f t="shared" si="2"/>
        <v>#REF!</v>
      </c>
      <c r="O26" s="207" t="e">
        <f t="shared" si="3"/>
        <v>#REF!</v>
      </c>
      <c r="P26" s="200" t="e">
        <f t="shared" si="4"/>
        <v>#REF!</v>
      </c>
    </row>
    <row r="27" spans="1:19" ht="17.25" customHeight="1" outlineLevel="1" x14ac:dyDescent="0.25">
      <c r="A27" s="199"/>
      <c r="B27" s="216">
        <v>429</v>
      </c>
      <c r="C27" s="217" t="e">
        <f>#REF!</f>
        <v>#REF!</v>
      </c>
      <c r="D27" s="217" t="e">
        <f>#REF!</f>
        <v>#REF!</v>
      </c>
      <c r="E27" s="217" t="e">
        <f>#REF!</f>
        <v>#REF!</v>
      </c>
      <c r="F27" s="217" t="e">
        <f>C27-E27</f>
        <v>#REF!</v>
      </c>
      <c r="G27" s="201" t="e">
        <f>D27-E27</f>
        <v>#REF!</v>
      </c>
      <c r="H27" s="219">
        <v>4855548.8880000003</v>
      </c>
      <c r="I27" s="201" t="s">
        <v>3055</v>
      </c>
      <c r="J27" s="201" t="e">
        <f>#REF!</f>
        <v>#REF!</v>
      </c>
      <c r="K27" s="201" t="e">
        <f>#REF!</f>
        <v>#REF!</v>
      </c>
      <c r="L27" s="201" t="e">
        <f>#REF!</f>
        <v>#REF!</v>
      </c>
      <c r="M27" s="207" t="e">
        <f t="shared" si="1"/>
        <v>#REF!</v>
      </c>
      <c r="N27" s="207" t="e">
        <f t="shared" si="2"/>
        <v>#REF!</v>
      </c>
      <c r="O27" s="207" t="e">
        <f t="shared" si="3"/>
        <v>#REF!</v>
      </c>
      <c r="P27" s="200" t="e">
        <f t="shared" si="4"/>
        <v>#REF!</v>
      </c>
    </row>
    <row r="28" spans="1:19" ht="17.25" customHeight="1" x14ac:dyDescent="0.25">
      <c r="A28" s="212" t="s">
        <v>35</v>
      </c>
      <c r="B28" s="213"/>
      <c r="C28" s="220" t="e">
        <f t="shared" ref="C28:H28" si="9">SUM(C29:C32)</f>
        <v>#REF!</v>
      </c>
      <c r="D28" s="220" t="e">
        <f t="shared" si="9"/>
        <v>#REF!</v>
      </c>
      <c r="E28" s="220" t="e">
        <f t="shared" si="9"/>
        <v>#REF!</v>
      </c>
      <c r="F28" s="220" t="e">
        <f t="shared" si="9"/>
        <v>#REF!</v>
      </c>
      <c r="G28" s="220" t="e">
        <f t="shared" si="9"/>
        <v>#REF!</v>
      </c>
      <c r="H28" s="221">
        <f t="shared" si="9"/>
        <v>1817398886.6163998</v>
      </c>
      <c r="I28" s="220" t="e">
        <f>SUM(I29:I32)</f>
        <v>#REF!</v>
      </c>
      <c r="J28" s="220" t="e">
        <f>SUM(J29:J32)</f>
        <v>#REF!</v>
      </c>
      <c r="K28" s="220" t="e">
        <f>SUM(K29:K32)</f>
        <v>#REF!</v>
      </c>
      <c r="L28" s="220" t="e">
        <f>SUM(L29:L32)</f>
        <v>#REF!</v>
      </c>
      <c r="M28" s="207" t="e">
        <f t="shared" si="1"/>
        <v>#REF!</v>
      </c>
      <c r="N28" s="207" t="e">
        <f t="shared" si="2"/>
        <v>#REF!</v>
      </c>
      <c r="O28" s="207" t="e">
        <f t="shared" si="3"/>
        <v>#REF!</v>
      </c>
      <c r="P28" s="200" t="e">
        <f t="shared" si="4"/>
        <v>#REF!</v>
      </c>
      <c r="R28" s="200"/>
      <c r="S28" s="200"/>
    </row>
    <row r="29" spans="1:19" ht="17.25" customHeight="1" outlineLevel="1" x14ac:dyDescent="0.25">
      <c r="A29" s="199"/>
      <c r="B29" s="216">
        <v>424</v>
      </c>
      <c r="C29" s="217" t="e">
        <f>#REF!</f>
        <v>#REF!</v>
      </c>
      <c r="D29" s="217" t="e">
        <f>#REF!</f>
        <v>#REF!</v>
      </c>
      <c r="E29" s="217" t="e">
        <f>#REF!</f>
        <v>#REF!</v>
      </c>
      <c r="F29" s="217" t="e">
        <f>C29-E29</f>
        <v>#REF!</v>
      </c>
      <c r="G29" s="217" t="e">
        <f>D29-E29</f>
        <v>#REF!</v>
      </c>
      <c r="H29" s="219">
        <v>135267696</v>
      </c>
      <c r="I29" s="201" t="s">
        <v>3055</v>
      </c>
      <c r="J29" s="201" t="e">
        <f>#REF!</f>
        <v>#REF!</v>
      </c>
      <c r="K29" s="201" t="e">
        <f>#REF!</f>
        <v>#REF!</v>
      </c>
      <c r="L29" s="201" t="e">
        <f>#REF!</f>
        <v>#REF!</v>
      </c>
      <c r="M29" s="207" t="e">
        <f t="shared" si="1"/>
        <v>#REF!</v>
      </c>
      <c r="N29" s="207" t="e">
        <f t="shared" si="2"/>
        <v>#REF!</v>
      </c>
      <c r="O29" s="207" t="e">
        <f t="shared" si="3"/>
        <v>#REF!</v>
      </c>
      <c r="P29" s="200" t="e">
        <f t="shared" si="4"/>
        <v>#REF!</v>
      </c>
    </row>
    <row r="30" spans="1:19" ht="17.25" customHeight="1" outlineLevel="1" x14ac:dyDescent="0.25">
      <c r="A30" s="199"/>
      <c r="B30" s="216">
        <v>426</v>
      </c>
      <c r="C30" s="217" t="e">
        <f>#REF!</f>
        <v>#REF!</v>
      </c>
      <c r="D30" s="217" t="e">
        <f>#REF!</f>
        <v>#REF!</v>
      </c>
      <c r="E30" s="217" t="e">
        <f>#REF!</f>
        <v>#REF!</v>
      </c>
      <c r="F30" s="217" t="e">
        <f>C30-E30</f>
        <v>#REF!</v>
      </c>
      <c r="G30" s="217" t="e">
        <f>D30-E30</f>
        <v>#REF!</v>
      </c>
      <c r="H30" s="219">
        <v>29359379.016000003</v>
      </c>
      <c r="I30" s="201" t="e">
        <f>#REF!</f>
        <v>#REF!</v>
      </c>
      <c r="J30" s="201" t="e">
        <f>#REF!</f>
        <v>#REF!</v>
      </c>
      <c r="K30" s="201" t="e">
        <f>#REF!</f>
        <v>#REF!</v>
      </c>
      <c r="L30" s="201" t="e">
        <f>#REF!</f>
        <v>#REF!</v>
      </c>
      <c r="M30" s="207" t="e">
        <f t="shared" si="1"/>
        <v>#REF!</v>
      </c>
      <c r="N30" s="207" t="e">
        <f t="shared" si="2"/>
        <v>#REF!</v>
      </c>
      <c r="O30" s="207" t="e">
        <f t="shared" si="3"/>
        <v>#REF!</v>
      </c>
      <c r="P30" s="200" t="e">
        <f t="shared" si="4"/>
        <v>#REF!</v>
      </c>
    </row>
    <row r="31" spans="1:19" ht="17.25" customHeight="1" outlineLevel="1" x14ac:dyDescent="0.25">
      <c r="A31" s="199"/>
      <c r="B31" s="216">
        <v>427</v>
      </c>
      <c r="C31" s="217" t="e">
        <f>#REF!</f>
        <v>#REF!</v>
      </c>
      <c r="D31" s="217" t="e">
        <f>#REF!</f>
        <v>#REF!</v>
      </c>
      <c r="E31" s="217" t="e">
        <f>#REF!</f>
        <v>#REF!</v>
      </c>
      <c r="F31" s="217" t="e">
        <f>C31-E31</f>
        <v>#REF!</v>
      </c>
      <c r="G31" s="217" t="e">
        <f>D31-E31</f>
        <v>#REF!</v>
      </c>
      <c r="H31" s="219">
        <v>42944955.004000008</v>
      </c>
      <c r="I31" s="201" t="e">
        <f>#REF!</f>
        <v>#REF!</v>
      </c>
      <c r="J31" s="201" t="e">
        <f>#REF!</f>
        <v>#REF!</v>
      </c>
      <c r="K31" s="201" t="e">
        <f>#REF!</f>
        <v>#REF!</v>
      </c>
      <c r="L31" s="201" t="e">
        <f>#REF!</f>
        <v>#REF!</v>
      </c>
      <c r="M31" s="207" t="e">
        <f t="shared" si="1"/>
        <v>#REF!</v>
      </c>
      <c r="N31" s="207" t="e">
        <f t="shared" si="2"/>
        <v>#REF!</v>
      </c>
      <c r="O31" s="207" t="e">
        <f t="shared" si="3"/>
        <v>#REF!</v>
      </c>
      <c r="P31" s="200" t="e">
        <f t="shared" si="4"/>
        <v>#REF!</v>
      </c>
    </row>
    <row r="32" spans="1:19" ht="17.25" customHeight="1" outlineLevel="1" x14ac:dyDescent="0.25">
      <c r="A32" s="199"/>
      <c r="B32" s="216">
        <v>429</v>
      </c>
      <c r="C32" s="217" t="e">
        <f>#REF!</f>
        <v>#REF!</v>
      </c>
      <c r="D32" s="217" t="e">
        <f>#REF!</f>
        <v>#REF!</v>
      </c>
      <c r="E32" s="217" t="e">
        <f>#REF!</f>
        <v>#REF!</v>
      </c>
      <c r="F32" s="217" t="e">
        <f>C32-E32</f>
        <v>#REF!</v>
      </c>
      <c r="G32" s="217" t="e">
        <f>D32-E32</f>
        <v>#REF!</v>
      </c>
      <c r="H32" s="219">
        <v>1609826856.5963998</v>
      </c>
      <c r="I32" s="201" t="s">
        <v>3055</v>
      </c>
      <c r="J32" s="201" t="e">
        <f>#REF!</f>
        <v>#REF!</v>
      </c>
      <c r="K32" s="201" t="e">
        <f>#REF!</f>
        <v>#REF!</v>
      </c>
      <c r="L32" s="201" t="e">
        <f>#REF!</f>
        <v>#REF!</v>
      </c>
      <c r="M32" s="207" t="e">
        <f t="shared" si="1"/>
        <v>#REF!</v>
      </c>
      <c r="N32" s="207" t="e">
        <f t="shared" si="2"/>
        <v>#REF!</v>
      </c>
      <c r="O32" s="207" t="e">
        <f t="shared" si="3"/>
        <v>#REF!</v>
      </c>
      <c r="P32" s="200" t="e">
        <f t="shared" si="4"/>
        <v>#REF!</v>
      </c>
    </row>
    <row r="33" spans="1:19" ht="17.25" customHeight="1" x14ac:dyDescent="0.25">
      <c r="A33" s="212" t="s">
        <v>2524</v>
      </c>
      <c r="B33" s="213"/>
      <c r="C33" s="220" t="e">
        <f t="shared" ref="C33:L33" si="10">C3+C8+C13+C18+C23+C28</f>
        <v>#REF!</v>
      </c>
      <c r="D33" s="220" t="e">
        <f t="shared" si="10"/>
        <v>#REF!</v>
      </c>
      <c r="E33" s="220" t="e">
        <f t="shared" si="10"/>
        <v>#REF!</v>
      </c>
      <c r="F33" s="220" t="e">
        <f t="shared" si="10"/>
        <v>#REF!</v>
      </c>
      <c r="G33" s="220" t="e">
        <f t="shared" si="10"/>
        <v>#REF!</v>
      </c>
      <c r="H33" s="220">
        <f t="shared" si="10"/>
        <v>6221224154.4133768</v>
      </c>
      <c r="I33" s="220" t="e">
        <f t="shared" si="10"/>
        <v>#REF!</v>
      </c>
      <c r="J33" s="220" t="e">
        <f>J3+J8+J13+J18+J23+J28</f>
        <v>#REF!</v>
      </c>
      <c r="K33" s="220" t="e">
        <f t="shared" si="10"/>
        <v>#REF!</v>
      </c>
      <c r="L33" s="220" t="e">
        <f t="shared" si="10"/>
        <v>#REF!</v>
      </c>
      <c r="M33" s="207" t="e">
        <f t="shared" si="1"/>
        <v>#REF!</v>
      </c>
      <c r="N33" s="207" t="e">
        <f t="shared" si="2"/>
        <v>#REF!</v>
      </c>
      <c r="O33" s="207" t="e">
        <f t="shared" si="3"/>
        <v>#REF!</v>
      </c>
      <c r="P33" s="200" t="e">
        <f t="shared" si="4"/>
        <v>#REF!</v>
      </c>
      <c r="R33" s="200"/>
    </row>
    <row r="34" spans="1:19" x14ac:dyDescent="0.25">
      <c r="R34" s="200"/>
      <c r="S34" s="200"/>
    </row>
    <row r="35" spans="1:19" x14ac:dyDescent="0.25">
      <c r="D35" s="195" t="e">
        <f>D33-33432631060.71</f>
        <v>#REF!</v>
      </c>
      <c r="E35" s="195" t="e">
        <f>E33-31710043809.06</f>
        <v>#REF!</v>
      </c>
      <c r="G35" s="223" t="e">
        <f>G33-1722587251.65</f>
        <v>#REF!</v>
      </c>
      <c r="H35" s="63" t="s">
        <v>3052</v>
      </c>
      <c r="I35" s="224"/>
      <c r="J35" s="224"/>
      <c r="K35" s="224"/>
      <c r="L35" s="224"/>
    </row>
    <row r="37" spans="1:19" x14ac:dyDescent="0.25">
      <c r="E37" s="195" t="e">
        <f>D35-G35</f>
        <v>#REF!</v>
      </c>
    </row>
  </sheetData>
  <customSheetViews>
    <customSheetView guid="{73072050-98BD-46C0-8A4C-3932EBD7E281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1"/>
    </customSheetView>
    <customSheetView guid="{B93223BC-1772-42BF-90C8-640142444BC1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2"/>
    </customSheetView>
    <customSheetView guid="{FB04DBF9-3DAE-4A9A-8FD3-86262C957280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3"/>
    </customSheetView>
    <customSheetView guid="{454CB70A-9A73-4325-9C58-1B49A5599622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4"/>
    </customSheetView>
    <customSheetView guid="{40F90B7E-FC10-4F1A-82E4-6A6AD32FB98B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5"/>
    </customSheetView>
    <customSheetView guid="{01E07965-7B53-45C5-A9B0-1A47583A6EFC}" scale="90" showPageBreaks="1" fitToPage="1" printArea="1" hiddenColumns="1" view="pageBreakPreview">
      <selection activeCell="A25" sqref="A25"/>
      <pageMargins left="0.7" right="0.7" top="0.75" bottom="0.75" header="0.3" footer="0.3"/>
      <pageSetup paperSize="9" scale="84" fitToHeight="0" orientation="landscape" r:id="rId6"/>
    </customSheetView>
    <customSheetView guid="{F7F864E1-89C5-4BA7-86DA-D834C115EB5E}" scale="90" showPageBreaks="1" fitToPage="1" printArea="1" hiddenColumns="1" view="pageBreakPreview">
      <selection activeCell="I32" sqref="I32"/>
      <pageMargins left="0" right="0" top="0" bottom="0" header="0.31496062992125984" footer="0.31496062992125984"/>
      <printOptions horizontalCentered="1"/>
      <pageSetup paperSize="9" scale="95" fitToHeight="0" orientation="landscape" r:id="rId7"/>
    </customSheetView>
    <customSheetView guid="{B655AD65-550A-443B-8E49-D4A3A03BCD10}" scale="90" showPageBreaks="1" fitToPage="1" printArea="1" hiddenColumns="1" view="pageBreakPreview">
      <selection activeCell="J8" sqref="J8"/>
      <pageMargins left="0.7" right="0.7" top="0.75" bottom="0.75" header="0.3" footer="0.3"/>
      <pageSetup paperSize="9" scale="84" fitToHeight="0" orientation="landscape" r:id="rId8"/>
    </customSheetView>
    <customSheetView guid="{11A5B54D-6421-466E-906D-45CB895474C7}" fitToPage="1" hiddenColumns="1">
      <selection activeCell="C19" sqref="C19"/>
      <pageMargins left="0.7" right="0.7" top="0.75" bottom="0.75" header="0.3" footer="0.3"/>
      <pageSetup paperSize="9" scale="95" fitToHeight="0" orientation="landscape" r:id="rId9"/>
    </customSheetView>
    <customSheetView guid="{00A83F4A-6A4C-476D-A12F-01D297E7AF97}" scale="90" showPageBreaks="1" fitToPage="1" printArea="1" hiddenColumns="1" view="pageBreakPreview">
      <selection activeCell="D13" sqref="D13"/>
      <pageMargins left="0" right="0" top="0" bottom="0" header="0.31496062992125984" footer="0.31496062992125984"/>
      <printOptions horizontalCentered="1"/>
      <pageSetup paperSize="9" scale="64" fitToHeight="0" orientation="portrait" r:id="rId10"/>
    </customSheetView>
    <customSheetView guid="{2DAE39AD-3E49-4CE8-902A-8AD7FD004A0A}" scale="90" showPageBreaks="1" fitToPage="1" printArea="1" hiddenColumns="1" view="pageBreakPreview">
      <selection activeCell="I20" sqref="I20"/>
      <pageMargins left="0.7" right="0.7" top="0.75" bottom="0.75" header="0.3" footer="0.3"/>
      <pageSetup paperSize="9" scale="84" fitToHeight="0" orientation="landscape" r:id="rId11"/>
    </customSheetView>
    <customSheetView guid="{F4E05CBE-2792-464C-B7E1-0109C2C2CF07}" scale="90" showPageBreaks="1" fitToPage="1" printArea="1" hiddenColumns="1" view="pageBreakPreview">
      <selection activeCell="A25" sqref="A25"/>
      <pageMargins left="0.7" right="0.7" top="0.75" bottom="0.75" header="0.3" footer="0.3"/>
      <pageSetup paperSize="9" scale="84" fitToHeight="0" orientation="landscape" r:id="rId12"/>
    </customSheetView>
    <customSheetView guid="{C85A34E0-3C83-4DC8-81EA-788ADEED57CA}" scale="90" showPageBreaks="1" fitToPage="1" printArea="1" hiddenColumns="1" view="pageBreakPreview">
      <selection activeCell="A25" sqref="A25"/>
      <pageMargins left="0.7" right="0.7" top="0.75" bottom="0.75" header="0.3" footer="0.3"/>
      <pageSetup paperSize="9" scale="84" fitToHeight="0" orientation="landscape" r:id="rId13"/>
    </customSheetView>
    <customSheetView guid="{D9B4F6B6-4C58-4DE1-9132-EE0B1CCD77CC}" scale="90" showPageBreaks="1" fitToPage="1" printArea="1" hiddenColumns="1" view="pageBreakPreview">
      <selection activeCell="A25" sqref="A25"/>
      <pageMargins left="0.7" right="0.7" top="0.75" bottom="0.75" header="0.3" footer="0.3"/>
      <pageSetup paperSize="9" scale="83" fitToHeight="0" orientation="landscape" r:id="rId14"/>
    </customSheetView>
    <customSheetView guid="{48731D45-38D6-4C30-B312-6410F84E80CC}" scale="90" showPageBreaks="1" fitToPage="1" printArea="1" hiddenColumns="1" view="pageBreakPreview">
      <selection activeCell="A25" sqref="A25"/>
      <pageMargins left="0.7" right="0.7" top="0.75" bottom="0.75" header="0.3" footer="0.3"/>
      <pageSetup paperSize="9" scale="84" fitToHeight="0" orientation="landscape" r:id="rId15"/>
    </customSheetView>
    <customSheetView guid="{B656951A-E1FC-411E-8DBA-EFBCE5DDBF7F}" scale="90" showPageBreaks="1" fitToPage="1" printArea="1" hiddenColumns="1" view="pageBreakPreview" topLeftCell="E1">
      <selection activeCell="L33" sqref="L33"/>
      <pageMargins left="0.7" right="0.7" top="0.75" bottom="0.75" header="0.3" footer="0.3"/>
      <pageSetup paperSize="9" scale="84" fitToHeight="0" orientation="landscape" r:id="rId16"/>
    </customSheetView>
    <customSheetView guid="{BCE1722D-66F7-4E27-B2F5-76D7FA53A180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17"/>
    </customSheetView>
    <customSheetView guid="{2CC1AE45-D62A-4A8B-B580-3455D4ACD473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18"/>
    </customSheetView>
    <customSheetView guid="{EA59B395-89A4-40A4-ABB1-654FBF35292C}" scale="90" showPageBreaks="1" fitToPage="1" printArea="1" hiddenColumns="1" state="hidden" view="pageBreakPreview">
      <selection activeCell="J1" sqref="J1:J1048576"/>
      <pageMargins left="0.7" right="0.7" top="0.75" bottom="0.75" header="0.3" footer="0.3"/>
      <pageSetup paperSize="9" scale="60" fitToHeight="0" orientation="landscape" r:id="rId19"/>
    </customSheetView>
  </customSheetViews>
  <pageMargins left="0.7" right="0.7" top="0.75" bottom="0.75" header="0.3" footer="0.3"/>
  <pageSetup paperSize="9" scale="60" fitToHeight="0" orientation="landscape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="80" zoomScaleNormal="80" workbookViewId="0">
      <selection activeCell="I1" sqref="I1:I1048576"/>
    </sheetView>
  </sheetViews>
  <sheetFormatPr defaultColWidth="9.33203125" defaultRowHeight="15" x14ac:dyDescent="0.25"/>
  <cols>
    <col min="1" max="1" width="28.33203125" style="231" customWidth="1"/>
    <col min="2" max="2" width="36.83203125" style="231" customWidth="1"/>
    <col min="3" max="3" width="20.1640625" style="195" customWidth="1"/>
    <col min="4" max="4" width="21" style="195" customWidth="1"/>
    <col min="5" max="5" width="21" style="196" customWidth="1"/>
    <col min="6" max="6" width="27.1640625" style="196" bestFit="1" customWidth="1"/>
    <col min="7" max="7" width="17.1640625" style="196" customWidth="1"/>
    <col min="8" max="8" width="46.83203125" style="231" bestFit="1" customWidth="1"/>
    <col min="9" max="9" width="20.83203125" style="196" customWidth="1"/>
    <col min="10" max="10" width="20.33203125" style="194" customWidth="1"/>
    <col min="11" max="11" width="21.33203125" style="194" customWidth="1"/>
    <col min="12" max="12" width="22.33203125" style="194" customWidth="1"/>
    <col min="13" max="13" width="9.33203125" style="194"/>
    <col min="14" max="14" width="28.1640625" style="197" customWidth="1"/>
    <col min="15" max="15" width="33.83203125" style="194" customWidth="1"/>
    <col min="16" max="16384" width="9.33203125" style="194"/>
  </cols>
  <sheetData>
    <row r="1" spans="1:14" x14ac:dyDescent="0.25">
      <c r="K1" s="253" t="s">
        <v>3080</v>
      </c>
    </row>
    <row r="2" spans="1:14" s="225" customFormat="1" ht="32.25" customHeight="1" x14ac:dyDescent="0.25">
      <c r="A2" s="263" t="s">
        <v>3079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N2" s="226"/>
    </row>
    <row r="3" spans="1:14" s="225" customFormat="1" ht="24" customHeight="1" x14ac:dyDescent="0.25">
      <c r="A3" s="264" t="s">
        <v>2521</v>
      </c>
      <c r="B3" s="264" t="s">
        <v>3068</v>
      </c>
      <c r="C3" s="264"/>
      <c r="D3" s="264" t="s">
        <v>3071</v>
      </c>
      <c r="E3" s="264"/>
      <c r="F3" s="265" t="s">
        <v>3065</v>
      </c>
      <c r="G3" s="264" t="s">
        <v>3072</v>
      </c>
      <c r="H3" s="264"/>
      <c r="I3" s="264" t="s">
        <v>3066</v>
      </c>
      <c r="J3" s="264" t="s">
        <v>3067</v>
      </c>
      <c r="K3" s="264" t="s">
        <v>3073</v>
      </c>
      <c r="N3" s="226"/>
    </row>
    <row r="4" spans="1:14" s="225" customFormat="1" ht="24" customHeight="1" x14ac:dyDescent="0.25">
      <c r="A4" s="264"/>
      <c r="B4" s="227" t="s">
        <v>3069</v>
      </c>
      <c r="C4" s="227" t="s">
        <v>3070</v>
      </c>
      <c r="D4" s="227" t="s">
        <v>3069</v>
      </c>
      <c r="E4" s="227" t="s">
        <v>3070</v>
      </c>
      <c r="F4" s="266"/>
      <c r="G4" s="227" t="s">
        <v>3069</v>
      </c>
      <c r="H4" s="227" t="s">
        <v>3070</v>
      </c>
      <c r="I4" s="264"/>
      <c r="J4" s="264"/>
      <c r="K4" s="264"/>
      <c r="N4" s="226"/>
    </row>
    <row r="5" spans="1:14" x14ac:dyDescent="0.25">
      <c r="A5" s="233" t="s">
        <v>3077</v>
      </c>
      <c r="B5" s="233">
        <v>0</v>
      </c>
      <c r="C5" s="234">
        <v>0</v>
      </c>
      <c r="D5" s="233">
        <v>0</v>
      </c>
      <c r="E5" s="234">
        <v>0</v>
      </c>
      <c r="F5" s="234">
        <v>0</v>
      </c>
      <c r="G5" s="233">
        <v>0</v>
      </c>
      <c r="H5" s="234">
        <v>0</v>
      </c>
      <c r="I5" s="202">
        <v>0</v>
      </c>
      <c r="J5" s="234">
        <v>0</v>
      </c>
      <c r="K5" s="234">
        <v>0</v>
      </c>
    </row>
    <row r="6" spans="1:14" x14ac:dyDescent="0.25">
      <c r="A6" s="246"/>
      <c r="B6" s="246"/>
      <c r="C6" s="236"/>
      <c r="D6" s="246"/>
      <c r="E6" s="236"/>
      <c r="F6" s="236"/>
      <c r="G6" s="246"/>
      <c r="H6" s="236"/>
      <c r="I6" s="235"/>
      <c r="J6" s="236"/>
      <c r="K6" s="236"/>
    </row>
    <row r="7" spans="1:14" ht="14.25" customHeight="1" x14ac:dyDescent="0.25">
      <c r="A7" s="260" t="s">
        <v>3081</v>
      </c>
      <c r="B7" s="261"/>
      <c r="C7" s="261"/>
      <c r="D7" s="261"/>
      <c r="E7" s="261"/>
      <c r="F7" s="261"/>
      <c r="G7" s="261"/>
      <c r="H7" s="261"/>
      <c r="I7" s="262"/>
    </row>
    <row r="8" spans="1:14" s="230" customFormat="1" ht="42.75" x14ac:dyDescent="0.2">
      <c r="A8" s="247" t="s">
        <v>1</v>
      </c>
      <c r="B8" s="247" t="s">
        <v>6</v>
      </c>
      <c r="C8" s="248" t="s">
        <v>8</v>
      </c>
      <c r="D8" s="249" t="s">
        <v>3074</v>
      </c>
      <c r="E8" s="247" t="s">
        <v>3075</v>
      </c>
      <c r="F8" s="250" t="s">
        <v>3064</v>
      </c>
      <c r="G8" s="251" t="s">
        <v>3054</v>
      </c>
      <c r="H8" s="252" t="s">
        <v>1944</v>
      </c>
      <c r="I8" s="15" t="s">
        <v>2</v>
      </c>
      <c r="J8" s="232"/>
    </row>
    <row r="9" spans="1:14" s="230" customFormat="1" ht="14.25" x14ac:dyDescent="0.2">
      <c r="A9" s="237" t="s">
        <v>2524</v>
      </c>
      <c r="B9" s="237"/>
      <c r="C9" s="238">
        <v>0</v>
      </c>
      <c r="D9" s="238">
        <v>0</v>
      </c>
      <c r="E9" s="239"/>
      <c r="F9" s="240"/>
      <c r="G9" s="240"/>
      <c r="H9" s="241"/>
      <c r="I9" s="15"/>
      <c r="J9" s="232"/>
    </row>
    <row r="10" spans="1:14" ht="15" customHeight="1" x14ac:dyDescent="0.25">
      <c r="A10" s="259" t="s">
        <v>3082</v>
      </c>
      <c r="B10" s="259"/>
      <c r="C10" s="259"/>
      <c r="D10" s="259"/>
      <c r="E10" s="259"/>
      <c r="F10" s="259"/>
      <c r="G10" s="259"/>
      <c r="H10" s="259"/>
      <c r="I10" s="259"/>
    </row>
    <row r="11" spans="1:14" s="230" customFormat="1" ht="42.75" x14ac:dyDescent="0.2">
      <c r="A11" s="15" t="s">
        <v>1</v>
      </c>
      <c r="B11" s="15" t="s">
        <v>6</v>
      </c>
      <c r="C11" s="210" t="s">
        <v>8</v>
      </c>
      <c r="D11" s="202" t="s">
        <v>3074</v>
      </c>
      <c r="E11" s="15" t="s">
        <v>3075</v>
      </c>
      <c r="F11" s="228" t="s">
        <v>3064</v>
      </c>
      <c r="G11" s="229" t="s">
        <v>3054</v>
      </c>
      <c r="H11" s="17" t="s">
        <v>1944</v>
      </c>
      <c r="I11" s="15" t="s">
        <v>2</v>
      </c>
    </row>
    <row r="12" spans="1:14" s="230" customFormat="1" ht="14.25" x14ac:dyDescent="0.2">
      <c r="A12" s="242" t="s">
        <v>2524</v>
      </c>
      <c r="B12" s="242"/>
      <c r="C12" s="238">
        <v>0</v>
      </c>
      <c r="D12" s="238">
        <v>0</v>
      </c>
      <c r="E12" s="243"/>
      <c r="F12" s="244"/>
      <c r="G12" s="244"/>
      <c r="H12" s="245"/>
      <c r="I12" s="15"/>
    </row>
    <row r="13" spans="1:14" x14ac:dyDescent="0.25">
      <c r="A13" s="258" t="s">
        <v>3076</v>
      </c>
      <c r="B13" s="258"/>
      <c r="C13" s="258"/>
      <c r="D13" s="258"/>
      <c r="E13" s="258"/>
      <c r="F13" s="258"/>
      <c r="G13" s="258"/>
      <c r="H13" s="258"/>
      <c r="I13" s="258"/>
    </row>
    <row r="14" spans="1:14" s="230" customFormat="1" ht="42.75" x14ac:dyDescent="0.2">
      <c r="A14" s="15" t="s">
        <v>1</v>
      </c>
      <c r="B14" s="15" t="s">
        <v>6</v>
      </c>
      <c r="C14" s="210" t="s">
        <v>8</v>
      </c>
      <c r="D14" s="202" t="s">
        <v>3074</v>
      </c>
      <c r="E14" s="15" t="s">
        <v>3075</v>
      </c>
      <c r="F14" s="228" t="s">
        <v>3064</v>
      </c>
      <c r="G14" s="229" t="s">
        <v>3054</v>
      </c>
      <c r="H14" s="17" t="s">
        <v>1944</v>
      </c>
      <c r="I14" s="15" t="s">
        <v>2</v>
      </c>
    </row>
    <row r="15" spans="1:14" x14ac:dyDescent="0.25">
      <c r="A15" s="237" t="s">
        <v>2524</v>
      </c>
      <c r="B15" s="237"/>
      <c r="C15" s="238">
        <v>0</v>
      </c>
      <c r="D15" s="238">
        <v>0</v>
      </c>
      <c r="E15" s="239"/>
      <c r="F15" s="240"/>
      <c r="G15" s="240"/>
      <c r="H15" s="241"/>
      <c r="I15" s="267"/>
    </row>
    <row r="16" spans="1:14" x14ac:dyDescent="0.25">
      <c r="A16" s="237" t="s">
        <v>3078</v>
      </c>
      <c r="B16" s="237"/>
      <c r="C16" s="238">
        <v>0</v>
      </c>
      <c r="D16" s="238">
        <v>0</v>
      </c>
      <c r="E16" s="239"/>
      <c r="F16" s="239"/>
      <c r="G16" s="239"/>
      <c r="H16" s="237"/>
      <c r="I16" s="267"/>
    </row>
    <row r="24" spans="1:14" x14ac:dyDescent="0.25">
      <c r="A24" s="194"/>
      <c r="B24" s="194"/>
      <c r="C24" s="194"/>
      <c r="D24" s="194"/>
      <c r="E24" s="194"/>
      <c r="F24" s="194"/>
      <c r="H24" s="194"/>
      <c r="N24" s="194"/>
    </row>
  </sheetData>
  <customSheetViews>
    <customSheetView guid="{73072050-98BD-46C0-8A4C-3932EBD7E281}" scale="80" showPageBreaks="1" printArea="1" view="pageBreakPreview">
      <selection activeCell="B50" sqref="B50"/>
      <pageMargins left="0" right="0" top="0" bottom="0" header="0.31496062992125984" footer="0.31496062992125984"/>
      <printOptions horizontalCentered="1"/>
      <pageSetup paperSize="9" scale="65" orientation="landscape" r:id="rId1"/>
    </customSheetView>
    <customSheetView guid="{B93223BC-1772-42BF-90C8-640142444BC1}" scale="80" showPageBreaks="1" printArea="1" view="pageBreakPreview" topLeftCell="A16">
      <selection activeCell="H21" sqref="H21"/>
      <pageMargins left="0" right="0" top="0" bottom="0" header="0.31496062992125984" footer="0.31496062992125984"/>
      <printOptions horizontalCentered="1"/>
      <pageSetup paperSize="9" scale="65" orientation="landscape" r:id="rId2"/>
    </customSheetView>
    <customSheetView guid="{FB04DBF9-3DAE-4A9A-8FD3-86262C957280}" scale="80" showPageBreaks="1" printArea="1" view="pageBreakPreview" topLeftCell="A32">
      <selection activeCell="H43" sqref="H43"/>
      <pageMargins left="0" right="0" top="0" bottom="0" header="0.31496062992125984" footer="0.31496062992125984"/>
      <printOptions horizontalCentered="1"/>
      <pageSetup paperSize="9" scale="65" orientation="landscape" r:id="rId3"/>
    </customSheetView>
    <customSheetView guid="{454CB70A-9A73-4325-9C58-1B49A5599622}" scale="166" showPageBreaks="1" printArea="1" view="pageBreakPreview" topLeftCell="D13">
      <selection activeCell="A51" sqref="A51"/>
      <pageMargins left="0" right="0" top="0" bottom="0" header="0.31496062992125984" footer="0.31496062992125984"/>
      <printOptions horizontalCentered="1"/>
      <pageSetup paperSize="9" scale="65" orientation="landscape" r:id="rId4"/>
    </customSheetView>
    <customSheetView guid="{BCE1722D-66F7-4E27-B2F5-76D7FA53A180}" scale="90" showPageBreaks="1" printArea="1" view="pageBreakPreview" topLeftCell="A2">
      <selection activeCell="A14" sqref="A14:XFD14"/>
      <pageMargins left="0" right="0" top="0" bottom="0" header="0.31496062992125984" footer="0.31496062992125984"/>
      <printOptions horizontalCentered="1"/>
      <pageSetup paperSize="9" scale="65" orientation="landscape" r:id="rId5"/>
    </customSheetView>
    <customSheetView guid="{2CC1AE45-D62A-4A8B-B580-3455D4ACD473}" scale="85" showPageBreaks="1" printArea="1" view="pageBreakPreview">
      <selection activeCell="H23" sqref="F23:H23"/>
      <pageMargins left="0" right="0" top="0" bottom="0" header="0.31496062992125984" footer="0.31496062992125984"/>
      <printOptions horizontalCentered="1"/>
      <pageSetup paperSize="9" scale="65" orientation="landscape" r:id="rId6"/>
    </customSheetView>
    <customSheetView guid="{EA59B395-89A4-40A4-ABB1-654FBF35292C}" scale="80" showPageBreaks="1" printArea="1" view="pageBreakPreview" topLeftCell="A25">
      <selection activeCell="A33" sqref="A33:XFD33"/>
      <pageMargins left="0" right="0" top="0" bottom="0" header="0.31496062992125984" footer="0.31496062992125984"/>
      <printOptions horizontalCentered="1"/>
      <pageSetup paperSize="9" scale="65" orientation="landscape" r:id="rId7"/>
    </customSheetView>
  </customSheetViews>
  <mergeCells count="12">
    <mergeCell ref="A13:I13"/>
    <mergeCell ref="A10:I10"/>
    <mergeCell ref="A7:I7"/>
    <mergeCell ref="A2:K2"/>
    <mergeCell ref="A3:A4"/>
    <mergeCell ref="B3:C3"/>
    <mergeCell ref="D3:E3"/>
    <mergeCell ref="F3:F4"/>
    <mergeCell ref="G3:H3"/>
    <mergeCell ref="I3:I4"/>
    <mergeCell ref="J3:J4"/>
    <mergeCell ref="K3:K4"/>
  </mergeCells>
  <printOptions horizontalCentered="1"/>
  <pageMargins left="0" right="0" top="0" bottom="0" header="0.31496062992125984" footer="0.31496062992125984"/>
  <pageSetup paperSize="9" scale="65"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Лист2</vt:lpstr>
      <vt:lpstr>СВОД</vt:lpstr>
      <vt:lpstr>9022</vt:lpstr>
      <vt:lpstr>'9022'!Область_печати</vt:lpstr>
      <vt:lpstr>СВОД!Область_печати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Глушкова Екатерина Сергеевна</dc:creator>
  <cp:lastModifiedBy>Бурцев Павел Витальевич</cp:lastModifiedBy>
  <cp:lastPrinted>2025-06-13T08:39:30Z</cp:lastPrinted>
  <dcterms:created xsi:type="dcterms:W3CDTF">2024-08-30T10:08:27Z</dcterms:created>
  <dcterms:modified xsi:type="dcterms:W3CDTF">2025-09-17T05:05:44Z</dcterms:modified>
</cp:coreProperties>
</file>